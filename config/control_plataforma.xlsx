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APIs" sheetId="3" state="visible" r:id="rId3"/>
    <sheet xmlns:r="http://schemas.openxmlformats.org/officeDocument/2006/relationships" name="Cuentas_Servicio" sheetId="4" state="visible" r:id="rId4"/>
    <sheet xmlns:r="http://schemas.openxmlformats.org/officeDocument/2006/relationships" name="Permisos" sheetId="5" state="visible" r:id="rId5"/>
    <sheet xmlns:r="http://schemas.openxmlformats.org/officeDocument/2006/relationships" name="Usuarios" sheetId="6" state="visible" r:id="rId6"/>
    <sheet xmlns:r="http://schemas.openxmlformats.org/officeDocument/2006/relationships" name="Datasets" sheetId="7" state="visible" r:id="rId7"/>
    <sheet xmlns:r="http://schemas.openxmlformats.org/officeDocument/2006/relationships" name="Tablas" sheetId="8" state="visible" r:id="rId8"/>
    <sheet xmlns:r="http://schemas.openxmlformats.org/officeDocument/2006/relationships" name="Columnas" sheetId="9" state="visible" r:id="rId9"/>
    <sheet xmlns:r="http://schemas.openxmlformats.org/officeDocument/2006/relationships" name="Secretos" sheetId="10" state="visible" r:id="rId10"/>
    <sheet xmlns:r="http://schemas.openxmlformats.org/officeDocument/2006/relationships" name="Recursos_Calculados" sheetId="11" state="visible" r:id="rId11"/>
  </sheets>
  <definedNames>
    <definedName name="_xlnm._FilterDatabase" localSheetId="0" hidden="1">'LEEME'!$A$1:$B$12</definedName>
    <definedName name="_xlnm._FilterDatabase" localSheetId="1" hidden="1">'Parametros'!$A$1:$E$73</definedName>
    <definedName name="_xlnm._FilterDatabase" localSheetId="2" hidden="1">'APIs'!$A$1:$B$22</definedName>
    <definedName name="_xlnm._FilterDatabase" localSheetId="3" hidden="1">'Cuentas_Servicio'!$A$1:$D$5</definedName>
    <definedName name="_xlnm._FilterDatabase" localSheetId="4" hidden="1">'Permisos'!$A$1:$E$31</definedName>
    <definedName name="_xlnm._FilterDatabase" localSheetId="5" hidden="1">'Usuarios'!$A$1:$H$13</definedName>
    <definedName name="_xlnm._FilterDatabase" localSheetId="6" hidden="1">'Datasets'!$A$1:$D$5</definedName>
    <definedName name="_xlnm._FilterDatabase" localSheetId="7" hidden="1">'Tablas'!$A$1:$H$31</definedName>
    <definedName name="_xlnm._FilterDatabase" localSheetId="8" hidden="1">'Columnas'!$A$1:$G$241</definedName>
    <definedName name="_xlnm._FilterDatabase" localSheetId="9" hidden="1">'Secretos'!$A$1:$E$3</definedName>
    <definedName name="_xlnm._FilterDatabase" localSheetId="10" hidden="1">'Recursos_Calculados'!$A$1:$B$13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control</author>
  </authors>
  <commentList>
    <comment ref="B3" authorId="0" shapeId="0">
      <text>
        <t>Cambiar antes de desplegar. Debe ser único en todo GCP.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s="2" t="inlineStr">
        <is>
          <t>Excel de control de la plataforma</t>
        </is>
      </c>
      <c r="B2" s="3" t="inlineStr"/>
    </row>
    <row r="3">
      <c r="A3" s="2" t="inlineStr">
        <is>
          <t>Qué es</t>
        </is>
      </c>
      <c r="B3" s="3" t="inlineStr">
        <is>
          <t>Fuente única de los inputs del despliegue: parámetros, APIs, cuentas de servicio, permisos, usuarios, datasets, tablas, columnas y secretos.</t>
        </is>
      </c>
    </row>
    <row r="4">
      <c r="A4" s="2" t="inlineStr">
        <is>
          <t>Flujo</t>
        </is>
      </c>
      <c r="B4" s="3" t="inlineStr">
        <is>
          <t>1) Editar celdas amarillas  2) Guardar  3) python ops.py config  4) python ops.py plan / apply (o ops.py todo)</t>
        </is>
      </c>
    </row>
    <row r="5">
      <c r="A5" s="2" t="inlineStr">
        <is>
          <t>Qué genera 'ops.py config'</t>
        </is>
      </c>
      <c r="B5" s="3" t="inlineStr">
        <is>
          <t>infra/terraform/plataforma.auto.tfvars.json (Terraform) · config/generated/plataforma.json (ops, CI) · api/seed.json (usuarios demo). Se versionan para ver los cambios en Git.</t>
        </is>
      </c>
    </row>
    <row r="6">
      <c r="A6" s="2" t="inlineStr">
        <is>
          <t>Controla directamente</t>
        </is>
      </c>
      <c r="B6" s="3" t="inlineStr">
        <is>
          <t>Parametros, APIs, Cuentas_Servicio, Permisos, Usuarios, Datasets, tablas con creado_por = terraform (y sus columnas).</t>
        </is>
      </c>
    </row>
    <row r="7">
      <c r="A7" s="2" t="inlineStr">
        <is>
          <t>Contrato verificado</t>
        </is>
      </c>
      <c r="B7" s="3" t="inlineStr">
        <is>
          <t>Tablas/columnas creadas por SQL, Spark o la API: el Excel es el contrato. 'ops.py verificar' compara contra BigQuery y la prueba automática contra api/schema.sql. Cambiar un nombre aquí exige cambiar el SQL.</t>
        </is>
      </c>
    </row>
    <row r="8">
      <c r="A8" s="2" t="inlineStr">
        <is>
          <t>Alcances de permisos</t>
        </is>
      </c>
      <c r="B8" s="3" t="inlineStr">
        <is>
          <t>proyecto · bucket:raw|lake · dataset:&lt;clave&gt; · topic:events|dlq · subscription:bq|dataflow · cuenta:&lt;clave de cuenta de servicio&gt;</t>
        </is>
      </c>
    </row>
    <row r="9">
      <c r="A9" s="2" t="inlineStr">
        <is>
          <t>Principales</t>
        </is>
      </c>
      <c r="B9" s="3" t="inlineStr">
        <is>
          <t>sa:&lt;clave&gt; (hoja Cuentas_Servicio) · user:correo · group:correo · compute-default · pubsub-agent. Los usuarios del equipo se dan de alta en la hoja Usuarios (tipo gcp).</t>
        </is>
      </c>
    </row>
    <row r="10">
      <c r="A10" s="2" t="inlineStr">
        <is>
          <t>Secretos</t>
        </is>
      </c>
      <c r="B10" s="3" t="inlineStr">
        <is>
          <t>Nunca escribir contraseñas aquí. Terraform las genera en Secret Manager.</t>
        </is>
      </c>
    </row>
    <row r="11">
      <c r="A11" s="2" t="inlineStr">
        <is>
          <t>Colores</t>
        </is>
      </c>
      <c r="B11" s="3" t="inlineStr">
        <is>
          <t>Amarillo = editable · Verde = calculado (no editar) · Azul = sección</t>
        </is>
      </c>
    </row>
    <row r="12">
      <c r="A12" s="2" t="inlineStr">
        <is>
          <t>Validación</t>
        </is>
      </c>
      <c r="B12" s="3" t="inlineStr">
        <is>
          <t>ops.py config falla con un mensaje claro si falta un dato, un rol no empieza con roles/, un correo es inválido o una referencia no existe.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4" customWidth="1" min="2" max="2"/>
    <col width="14" customWidth="1" min="3" max="3"/>
    <col width="70" customWidth="1" min="4" max="4"/>
    <col width="24" customWidth="1" min="5" max="5"/>
  </cols>
  <sheetData>
    <row r="1">
      <c r="A1" s="1" t="inlineStr">
        <is>
          <t>clave</t>
        </is>
      </c>
      <c r="B1" s="1" t="inlineStr">
        <is>
          <t>valor</t>
        </is>
      </c>
      <c r="C1" s="1" t="inlineStr">
        <is>
          <t>tipo</t>
        </is>
      </c>
      <c r="D1" s="1" t="inlineStr">
        <is>
          <t>descripcion</t>
        </is>
      </c>
      <c r="E1" s="1" t="inlineStr">
        <is>
          <t>usado_en</t>
        </is>
      </c>
    </row>
    <row r="2">
      <c r="A2" s="4" t="inlineStr">
        <is>
          <t># Proyecto</t>
        </is>
      </c>
      <c r="B2" s="4" t="n"/>
      <c r="C2" s="4" t="n"/>
      <c r="D2" s="4" t="n"/>
      <c r="E2" s="4" t="n"/>
    </row>
    <row r="3">
      <c r="A3" s="3" t="inlineStr">
        <is>
          <t>project_id</t>
        </is>
      </c>
      <c r="B3" s="5" t="inlineStr">
        <is>
          <t>tu-proyecto-gcp</t>
        </is>
      </c>
      <c r="C3" s="3" t="inlineStr">
        <is>
          <t>texto</t>
        </is>
      </c>
      <c r="D3" s="3" t="inlineStr">
        <is>
          <t>ID único del proyecto GCP (6-30 caracteres, minúsculas). OBLIGATORIO cambiar</t>
        </is>
      </c>
      <c r="E3" s="3" t="inlineStr">
        <is>
          <t>todo</t>
        </is>
      </c>
    </row>
    <row r="4">
      <c r="A4" s="3" t="inlineStr">
        <is>
          <t>region</t>
        </is>
      </c>
      <c r="B4" s="5" t="inlineStr">
        <is>
          <t>us-central1</t>
        </is>
      </c>
      <c r="C4" s="3" t="inlineStr">
        <is>
          <t>texto</t>
        </is>
      </c>
      <c r="D4" s="3" t="inlineStr">
        <is>
          <t>Región única del prototipo (Tier 1, Gemini disponible)</t>
        </is>
      </c>
      <c r="E4" s="3" t="inlineStr">
        <is>
          <t>todo</t>
        </is>
      </c>
    </row>
    <row r="5">
      <c r="A5" s="3" t="inlineStr">
        <is>
          <t>env</t>
        </is>
      </c>
      <c r="B5" s="5" t="inlineStr">
        <is>
          <t>dev</t>
        </is>
      </c>
      <c r="C5" s="3" t="inlineStr">
        <is>
          <t>texto</t>
        </is>
      </c>
      <c r="D5" s="3" t="inlineStr">
        <is>
          <t>Ambiente: dev | demo | prod (sufijo de recursos y del estado Terraform)</t>
        </is>
      </c>
      <c r="E5" s="3" t="inlineStr">
        <is>
          <t>terraform</t>
        </is>
      </c>
    </row>
    <row r="6">
      <c r="A6" s="3" t="inlineStr">
        <is>
          <t>labels</t>
        </is>
      </c>
      <c r="B6" s="5" t="inlineStr">
        <is>
          <t>proyecto=retail-bigdata;curso=utec-bigdata</t>
        </is>
      </c>
      <c r="C6" s="3" t="inlineStr">
        <is>
          <t>mapa</t>
        </is>
      </c>
      <c r="D6" s="3" t="inlineStr">
        <is>
          <t>Etiquetas en todos los recursos (clave=valor;...)</t>
        </is>
      </c>
      <c r="E6" s="3" t="inlineStr">
        <is>
          <t>terraform</t>
        </is>
      </c>
    </row>
    <row r="7">
      <c r="A7" s="4" t="inlineStr">
        <is>
          <t># Costos</t>
        </is>
      </c>
      <c r="B7" s="4" t="n"/>
      <c r="C7" s="4" t="n"/>
      <c r="D7" s="4" t="n"/>
      <c r="E7" s="4" t="n"/>
    </row>
    <row r="8">
      <c r="A8" s="3" t="inlineStr">
        <is>
          <t>billing_account</t>
        </is>
      </c>
      <c r="B8" s="5" t="inlineStr"/>
      <c r="C8" s="3" t="inlineStr">
        <is>
          <t>texto</t>
        </is>
      </c>
      <c r="D8" s="3" t="inlineStr">
        <is>
          <t>Cuenta de facturación XXXXXX-XXXXXX-XXXXXX. Vacío = no crea presupuesto</t>
        </is>
      </c>
      <c r="E8" s="3" t="inlineStr">
        <is>
          <t>terraform</t>
        </is>
      </c>
    </row>
    <row r="9">
      <c r="A9" s="3" t="inlineStr">
        <is>
          <t>monthly_budget_usd</t>
        </is>
      </c>
      <c r="B9" s="5" t="n">
        <v>50</v>
      </c>
      <c r="C9" s="3" t="inlineStr">
        <is>
          <t>numero</t>
        </is>
      </c>
      <c r="D9" s="3" t="inlineStr">
        <is>
          <t>Presupuesto mensual con alertas</t>
        </is>
      </c>
      <c r="E9" s="3" t="inlineStr">
        <is>
          <t>terraform</t>
        </is>
      </c>
    </row>
    <row r="10">
      <c r="A10" s="3" t="inlineStr">
        <is>
          <t>budget_thresholds</t>
        </is>
      </c>
      <c r="B10" s="5" t="inlineStr">
        <is>
          <t>0.5;0.9;1.0</t>
        </is>
      </c>
      <c r="C10" s="3" t="inlineStr">
        <is>
          <t>lista_numeros</t>
        </is>
      </c>
      <c r="D10" s="3" t="inlineStr">
        <is>
          <t>Umbrales de alerta (fracción del presupuesto)</t>
        </is>
      </c>
      <c r="E10" s="3" t="inlineStr">
        <is>
          <t>terraform</t>
        </is>
      </c>
    </row>
    <row r="11">
      <c r="A11" s="3" t="inlineStr">
        <is>
          <t>budget_topic</t>
        </is>
      </c>
      <c r="B11" s="3" t="inlineStr">
        <is>
          <t>billing-budget-alerts</t>
        </is>
      </c>
      <c r="C11" s="3" t="inlineStr">
        <is>
          <t>texto</t>
        </is>
      </c>
      <c r="D11" s="3" t="inlineStr">
        <is>
          <t>Tópico Pub/Sub que recibe las alertas de presupuesto</t>
        </is>
      </c>
      <c r="E11" s="3" t="inlineStr">
        <is>
          <t>terraform</t>
        </is>
      </c>
    </row>
    <row r="12">
      <c r="A12" s="3" t="inlineStr">
        <is>
          <t>billing_export_table</t>
        </is>
      </c>
      <c r="B12" s="5" t="inlineStr"/>
      <c r="C12" s="3" t="inlineStr">
        <is>
          <t>texto</t>
        </is>
      </c>
      <c r="D12" s="3" t="inlineStr">
        <is>
          <t>Tabla del billing export en el dataset ops (gcp_billing_export_resource_v1_...). Vacío = sin costo real</t>
        </is>
      </c>
      <c r="E12" s="3" t="inlineStr">
        <is>
          <t>ops costo-real</t>
        </is>
      </c>
    </row>
    <row r="13">
      <c r="A13" s="4" t="inlineStr">
        <is>
          <t># Almacenamiento</t>
        </is>
      </c>
      <c r="B13" s="4" t="n"/>
      <c r="C13" s="4" t="n"/>
      <c r="D13" s="4" t="n"/>
      <c r="E13" s="4" t="n"/>
    </row>
    <row r="14">
      <c r="A14" s="3" t="inlineStr">
        <is>
          <t>bucket_raw_suffix</t>
        </is>
      </c>
      <c r="B14" s="3" t="inlineStr">
        <is>
          <t>retail-raw</t>
        </is>
      </c>
      <c r="C14" s="3" t="inlineStr">
        <is>
          <t>texto</t>
        </is>
      </c>
      <c r="D14" s="3" t="inlineStr">
        <is>
          <t>Bucket Bronze = &lt;project_id&gt;-&lt;sufijo&gt;</t>
        </is>
      </c>
      <c r="E14" s="3" t="inlineStr">
        <is>
          <t>terraform, ops</t>
        </is>
      </c>
    </row>
    <row r="15">
      <c r="A15" s="3" t="inlineStr">
        <is>
          <t>bucket_lake_suffix</t>
        </is>
      </c>
      <c r="B15" s="3" t="inlineStr">
        <is>
          <t>retail-lake</t>
        </is>
      </c>
      <c r="C15" s="3" t="inlineStr">
        <is>
          <t>texto</t>
        </is>
      </c>
      <c r="D15" s="3" t="inlineStr">
        <is>
          <t>Bucket Silver/Gold/tmp = &lt;project_id&gt;-&lt;sufijo&gt;</t>
        </is>
      </c>
      <c r="E15" s="3" t="inlineStr">
        <is>
          <t>terraform, ops</t>
        </is>
      </c>
    </row>
    <row r="16">
      <c r="A16" s="3" t="inlineStr">
        <is>
          <t>bucket_tfstate_suffix</t>
        </is>
      </c>
      <c r="B16" s="3" t="inlineStr">
        <is>
          <t>tfstate</t>
        </is>
      </c>
      <c r="C16" s="3" t="inlineStr">
        <is>
          <t>texto</t>
        </is>
      </c>
      <c r="D16" s="3" t="inlineStr">
        <is>
          <t>Bucket del estado Terraform = &lt;project_id&gt;-&lt;sufijo&gt;</t>
        </is>
      </c>
      <c r="E16" s="3" t="inlineStr">
        <is>
          <t>ops bootstrap</t>
        </is>
      </c>
    </row>
    <row r="17">
      <c r="A17" s="3" t="inlineStr">
        <is>
          <t>tfstate_prefix</t>
        </is>
      </c>
      <c r="B17" s="3" t="inlineStr">
        <is>
          <t>retail</t>
        </is>
      </c>
      <c r="C17" s="3" t="inlineStr">
        <is>
          <t>texto</t>
        </is>
      </c>
      <c r="D17" s="3" t="inlineStr">
        <is>
          <t>Carpeta del estado dentro del bucket (se agrega /&lt;env&gt;)</t>
        </is>
      </c>
      <c r="E17" s="3" t="inlineStr">
        <is>
          <t>ops bootstrap</t>
        </is>
      </c>
    </row>
    <row r="18">
      <c r="A18" s="3" t="inlineStr">
        <is>
          <t>images_nearline_days</t>
        </is>
      </c>
      <c r="B18" s="5" t="n">
        <v>30</v>
      </c>
      <c r="C18" s="3" t="inlineStr">
        <is>
          <t>numero</t>
        </is>
      </c>
      <c r="D18" s="3" t="inlineStr">
        <is>
          <t>Días para pasar imágenes a Nearline</t>
        </is>
      </c>
      <c r="E18" s="3" t="inlineStr">
        <is>
          <t>terraform</t>
        </is>
      </c>
    </row>
    <row r="19">
      <c r="A19" s="3" t="inlineStr">
        <is>
          <t>noncurrent_version_days</t>
        </is>
      </c>
      <c r="B19" s="5" t="n">
        <v>30</v>
      </c>
      <c r="C19" s="3" t="inlineStr">
        <is>
          <t>numero</t>
        </is>
      </c>
      <c r="D19" s="3" t="inlineStr">
        <is>
          <t>Días de retención de versiones antiguas de objetos</t>
        </is>
      </c>
      <c r="E19" s="3" t="inlineStr">
        <is>
          <t>terraform</t>
        </is>
      </c>
    </row>
    <row r="20">
      <c r="A20" s="3" t="inlineStr">
        <is>
          <t>force_destroy_buckets</t>
        </is>
      </c>
      <c r="B20" s="5" t="b">
        <v>0</v>
      </c>
      <c r="C20" s="3" t="inlineStr">
        <is>
          <t>booleano</t>
        </is>
      </c>
      <c r="D20" s="3" t="inlineStr">
        <is>
          <t>true = destroy borra buckets con datos</t>
        </is>
      </c>
      <c r="E20" s="3" t="inlineStr">
        <is>
          <t>terraform</t>
        </is>
      </c>
    </row>
    <row r="21">
      <c r="A21" s="3" t="inlineStr">
        <is>
          <t>local_raw_dir</t>
        </is>
      </c>
      <c r="B21" s="5" t="inlineStr">
        <is>
          <t>data/raw</t>
        </is>
      </c>
      <c r="C21" s="3" t="inlineStr">
        <is>
          <t>texto</t>
        </is>
      </c>
      <c r="D21" s="3" t="inlineStr">
        <is>
          <t>Carpeta local con los CSV e imágenes H&amp;M</t>
        </is>
      </c>
      <c r="E21" s="3" t="inlineStr">
        <is>
          <t>ops subir-datos, local</t>
        </is>
      </c>
    </row>
    <row r="22">
      <c r="A22" s="4" t="inlineStr">
        <is>
          <t># Streaming</t>
        </is>
      </c>
      <c r="B22" s="4" t="n"/>
      <c r="C22" s="4" t="n"/>
      <c r="D22" s="4" t="n"/>
      <c r="E22" s="4" t="n"/>
    </row>
    <row r="23">
      <c r="A23" s="3" t="inlineStr">
        <is>
          <t>pubsub_topic</t>
        </is>
      </c>
      <c r="B23" s="3" t="inlineStr">
        <is>
          <t>retail-events</t>
        </is>
      </c>
      <c r="C23" s="3" t="inlineStr">
        <is>
          <t>texto</t>
        </is>
      </c>
      <c r="D23" s="3" t="inlineStr">
        <is>
          <t>Tópico de eventos</t>
        </is>
      </c>
      <c r="E23" s="3" t="inlineStr">
        <is>
          <t>terraform, api, replay</t>
        </is>
      </c>
    </row>
    <row r="24">
      <c r="A24" s="3" t="inlineStr">
        <is>
          <t>pubsub_dlq_topic</t>
        </is>
      </c>
      <c r="B24" s="3" t="inlineStr">
        <is>
          <t>retail-events-dlq</t>
        </is>
      </c>
      <c r="C24" s="3" t="inlineStr">
        <is>
          <t>texto</t>
        </is>
      </c>
      <c r="D24" s="3" t="inlineStr">
        <is>
          <t>Tópico de mensajes fallidos</t>
        </is>
      </c>
      <c r="E24" s="3" t="inlineStr">
        <is>
          <t>terraform</t>
        </is>
      </c>
    </row>
    <row r="25">
      <c r="A25" s="3" t="inlineStr">
        <is>
          <t>pubsub_bq_subscription</t>
        </is>
      </c>
      <c r="B25" s="3" t="inlineStr">
        <is>
          <t>retail-events-to-bq</t>
        </is>
      </c>
      <c r="C25" s="3" t="inlineStr">
        <is>
          <t>texto</t>
        </is>
      </c>
      <c r="D25" s="3" t="inlineStr">
        <is>
          <t>Suscripción directa a BigQuery (ruta económica)</t>
        </is>
      </c>
      <c r="E25" s="3" t="inlineStr">
        <is>
          <t>terraform</t>
        </is>
      </c>
    </row>
    <row r="26">
      <c r="A26" s="3" t="inlineStr">
        <is>
          <t>pubsub_bq_table</t>
        </is>
      </c>
      <c r="B26" s="3" t="inlineStr">
        <is>
          <t>bronze.events_raw</t>
        </is>
      </c>
      <c r="C26" s="3" t="inlineStr">
        <is>
          <t>texto</t>
        </is>
      </c>
      <c r="D26" s="3" t="inlineStr">
        <is>
          <t>Tabla destino de la suscripción (dataset_clave.tabla, ver hoja Tablas)</t>
        </is>
      </c>
      <c r="E26" s="3" t="inlineStr">
        <is>
          <t>terraform</t>
        </is>
      </c>
    </row>
    <row r="27">
      <c r="A27" s="3" t="inlineStr">
        <is>
          <t>pubsub_dataflow_subscription</t>
        </is>
      </c>
      <c r="B27" s="3" t="inlineStr">
        <is>
          <t>retail-events-dataflow</t>
        </is>
      </c>
      <c r="C27" s="3" t="inlineStr">
        <is>
          <t>texto</t>
        </is>
      </c>
      <c r="D27" s="3" t="inlineStr">
        <is>
          <t>Suscripción que consume Dataflow</t>
        </is>
      </c>
      <c r="E27" s="3" t="inlineStr">
        <is>
          <t>terraform, ops</t>
        </is>
      </c>
    </row>
    <row r="28">
      <c r="A28" s="3" t="inlineStr">
        <is>
          <t>pubsub_dlq_subscription</t>
        </is>
      </c>
      <c r="B28" s="3" t="inlineStr">
        <is>
          <t>retail-events-dlq-sub</t>
        </is>
      </c>
      <c r="C28" s="3" t="inlineStr">
        <is>
          <t>texto</t>
        </is>
      </c>
      <c r="D28" s="3" t="inlineStr">
        <is>
          <t>Suscripción que retiene los mensajes fallidos</t>
        </is>
      </c>
      <c r="E28" s="3" t="inlineStr">
        <is>
          <t>terraform</t>
        </is>
      </c>
    </row>
    <row r="29">
      <c r="A29" s="3" t="inlineStr">
        <is>
          <t>pubsub_max_delivery_attempts</t>
        </is>
      </c>
      <c r="B29" s="5" t="n">
        <v>5</v>
      </c>
      <c r="C29" s="3" t="inlineStr">
        <is>
          <t>numero</t>
        </is>
      </c>
      <c r="D29" s="3" t="inlineStr">
        <is>
          <t>Reintentos antes de enviar a la DLQ</t>
        </is>
      </c>
      <c r="E29" s="3" t="inlineStr">
        <is>
          <t>terraform</t>
        </is>
      </c>
    </row>
    <row r="30">
      <c r="A30" s="3" t="inlineStr">
        <is>
          <t>pubsub_retention</t>
        </is>
      </c>
      <c r="B30" s="5" t="inlineStr">
        <is>
          <t>86400s</t>
        </is>
      </c>
      <c r="C30" s="3" t="inlineStr">
        <is>
          <t>texto</t>
        </is>
      </c>
      <c r="D30" s="3" t="inlineStr">
        <is>
          <t>Retención de mensajes no confirmados</t>
        </is>
      </c>
      <c r="E30" s="3" t="inlineStr">
        <is>
          <t>terraform</t>
        </is>
      </c>
    </row>
    <row r="31">
      <c r="A31" s="3" t="inlineStr">
        <is>
          <t>dataflow_job_name</t>
        </is>
      </c>
      <c r="B31" s="3" t="inlineStr">
        <is>
          <t>retail-events</t>
        </is>
      </c>
      <c r="C31" s="3" t="inlineStr">
        <is>
          <t>texto</t>
        </is>
      </c>
      <c r="D31" s="3" t="inlineStr">
        <is>
          <t>Nombre del job streaming</t>
        </is>
      </c>
      <c r="E31" s="3" t="inlineStr">
        <is>
          <t>ops dataflow</t>
        </is>
      </c>
    </row>
    <row r="32">
      <c r="A32" s="3" t="inlineStr">
        <is>
          <t>dataflow_machine_type</t>
        </is>
      </c>
      <c r="B32" s="5" t="inlineStr">
        <is>
          <t>n1-standard-2</t>
        </is>
      </c>
      <c r="C32" s="3" t="inlineStr">
        <is>
          <t>texto</t>
        </is>
      </c>
      <c r="D32" s="3" t="inlineStr">
        <is>
          <t>Tipo de máquina de los workers</t>
        </is>
      </c>
      <c r="E32" s="3" t="inlineStr">
        <is>
          <t>ops dataflow</t>
        </is>
      </c>
    </row>
    <row r="33">
      <c r="A33" s="3" t="inlineStr">
        <is>
          <t>dataflow_max_workers</t>
        </is>
      </c>
      <c r="B33" s="5" t="n">
        <v>3</v>
      </c>
      <c r="C33" s="3" t="inlineStr">
        <is>
          <t>numero</t>
        </is>
      </c>
      <c r="D33" s="3" t="inlineStr">
        <is>
          <t>Máximo de workers (tope de costo)</t>
        </is>
      </c>
      <c r="E33" s="3" t="inlineStr">
        <is>
          <t>ops dataflow</t>
        </is>
      </c>
    </row>
    <row r="34">
      <c r="A34" s="3" t="inlineStr">
        <is>
          <t>replay_target_start</t>
        </is>
      </c>
      <c r="B34" s="5" t="inlineStr">
        <is>
          <t>2026-11-01</t>
        </is>
      </c>
      <c r="C34" s="3" t="inlineStr">
        <is>
          <t>texto</t>
        </is>
      </c>
      <c r="D34" s="3" t="inlineStr">
        <is>
          <t>Fecha base de los eventos 2026</t>
        </is>
      </c>
      <c r="E34" s="3" t="inlineStr">
        <is>
          <t>ops replay</t>
        </is>
      </c>
    </row>
    <row r="35">
      <c r="A35" s="3" t="inlineStr">
        <is>
          <t>replay_events_per_sec</t>
        </is>
      </c>
      <c r="B35" s="5" t="n">
        <v>50</v>
      </c>
      <c r="C35" s="3" t="inlineStr">
        <is>
          <t>numero</t>
        </is>
      </c>
      <c r="D35" s="3" t="inlineStr">
        <is>
          <t>Ritmo del replay</t>
        </is>
      </c>
      <c r="E35" s="3" t="inlineStr">
        <is>
          <t>ops replay</t>
        </is>
      </c>
    </row>
    <row r="36">
      <c r="A36" s="3" t="inlineStr">
        <is>
          <t>replay_limit</t>
        </is>
      </c>
      <c r="B36" s="5" t="n">
        <v>5000</v>
      </c>
      <c r="C36" s="3" t="inlineStr">
        <is>
          <t>numero</t>
        </is>
      </c>
      <c r="D36" s="3" t="inlineStr">
        <is>
          <t>Eventos por ejecución de replay</t>
        </is>
      </c>
      <c r="E36" s="3" t="inlineStr">
        <is>
          <t>ops replay</t>
        </is>
      </c>
    </row>
    <row r="37">
      <c r="A37" s="4" t="inlineStr">
        <is>
          <t># Procesamiento batch</t>
        </is>
      </c>
      <c r="B37" s="4" t="n"/>
      <c r="C37" s="4" t="n"/>
      <c r="D37" s="4" t="n"/>
      <c r="E37" s="4" t="n"/>
    </row>
    <row r="38">
      <c r="A38" s="3" t="inlineStr">
        <is>
          <t>dataproc_runtime</t>
        </is>
      </c>
      <c r="B38" s="3" t="inlineStr">
        <is>
          <t>2.2</t>
        </is>
      </c>
      <c r="C38" s="3" t="inlineStr">
        <is>
          <t>texto</t>
        </is>
      </c>
      <c r="D38" s="3" t="inlineStr">
        <is>
          <t>Versión de Serverless for Apache Spark</t>
        </is>
      </c>
      <c r="E38" s="3" t="inlineStr">
        <is>
          <t>ops silver</t>
        </is>
      </c>
    </row>
    <row r="39">
      <c r="A39" s="3" t="inlineStr">
        <is>
          <t>dataproc_subnet</t>
        </is>
      </c>
      <c r="B39" s="3" t="inlineStr">
        <is>
          <t>default</t>
        </is>
      </c>
      <c r="C39" s="3" t="inlineStr">
        <is>
          <t>texto</t>
        </is>
      </c>
      <c r="D39" s="3" t="inlineStr">
        <is>
          <t>Subred con Private Google Access</t>
        </is>
      </c>
      <c r="E39" s="3" t="inlineStr">
        <is>
          <t>ops bootstrap, silver</t>
        </is>
      </c>
    </row>
    <row r="40">
      <c r="A40" s="4" t="inlineStr">
        <is>
          <t># Base transaccional (Cloud SQL)</t>
        </is>
      </c>
      <c r="B40" s="4" t="n"/>
      <c r="C40" s="4" t="n"/>
      <c r="D40" s="4" t="n"/>
      <c r="E40" s="4" t="n"/>
    </row>
    <row r="41">
      <c r="A41" s="3" t="inlineStr">
        <is>
          <t>cloudsql_enabled</t>
        </is>
      </c>
      <c r="B41" s="5" t="b">
        <v>1</v>
      </c>
      <c r="C41" s="3" t="inlineStr">
        <is>
          <t>booleano</t>
        </is>
      </c>
      <c r="D41" s="3" t="inlineStr">
        <is>
          <t>false = sin Cloud SQL ni Cloud Run (ahorra USD 8-11/mes)</t>
        </is>
      </c>
      <c r="E41" s="3" t="inlineStr">
        <is>
          <t>terraform</t>
        </is>
      </c>
    </row>
    <row r="42">
      <c r="A42" s="3" t="inlineStr">
        <is>
          <t>cloudsql_instance</t>
        </is>
      </c>
      <c r="B42" s="3" t="inlineStr">
        <is>
          <t>retail-pg</t>
        </is>
      </c>
      <c r="C42" s="3" t="inlineStr">
        <is>
          <t>texto</t>
        </is>
      </c>
      <c r="D42" s="3" t="inlineStr">
        <is>
          <t>Prefijo de la instancia (se agrega -&lt;env&gt;-&lt;sufijo aleatorio&gt;)</t>
        </is>
      </c>
      <c r="E42" s="3" t="inlineStr">
        <is>
          <t>terraform</t>
        </is>
      </c>
    </row>
    <row r="43">
      <c r="A43" s="3" t="inlineStr">
        <is>
          <t>cloudsql_version</t>
        </is>
      </c>
      <c r="B43" s="3" t="inlineStr">
        <is>
          <t>POSTGRES_15</t>
        </is>
      </c>
      <c r="C43" s="3" t="inlineStr">
        <is>
          <t>texto</t>
        </is>
      </c>
      <c r="D43" s="3" t="inlineStr">
        <is>
          <t>Motor</t>
        </is>
      </c>
      <c r="E43" s="3" t="inlineStr">
        <is>
          <t>terraform</t>
        </is>
      </c>
    </row>
    <row r="44">
      <c r="A44" s="3" t="inlineStr">
        <is>
          <t>cloudsql_tier</t>
        </is>
      </c>
      <c r="B44" s="5" t="inlineStr">
        <is>
          <t>db-f1-micro</t>
        </is>
      </c>
      <c r="C44" s="3" t="inlineStr">
        <is>
          <t>texto</t>
        </is>
      </c>
      <c r="D44" s="3" t="inlineStr">
        <is>
          <t>Tamaño (db-f1-micro, db-g1-small, db-custom-1-3840)</t>
        </is>
      </c>
      <c r="E44" s="3" t="inlineStr">
        <is>
          <t>terraform</t>
        </is>
      </c>
    </row>
    <row r="45">
      <c r="A45" s="3" t="inlineStr">
        <is>
          <t>cloudsql_ha</t>
        </is>
      </c>
      <c r="B45" s="5" t="b">
        <v>0</v>
      </c>
      <c r="C45" s="3" t="inlineStr">
        <is>
          <t>booleano</t>
        </is>
      </c>
      <c r="D45" s="3" t="inlineStr">
        <is>
          <t>true = alta disponibilidad regional (duplica costo)</t>
        </is>
      </c>
      <c r="E45" s="3" t="inlineStr">
        <is>
          <t>terraform</t>
        </is>
      </c>
    </row>
    <row r="46">
      <c r="A46" s="3" t="inlineStr">
        <is>
          <t>cloudsql_disk_gb</t>
        </is>
      </c>
      <c r="B46" s="5" t="n">
        <v>10</v>
      </c>
      <c r="C46" s="3" t="inlineStr">
        <is>
          <t>numero</t>
        </is>
      </c>
      <c r="D46" s="3" t="inlineStr">
        <is>
          <t>Disco SSD</t>
        </is>
      </c>
      <c r="E46" s="3" t="inlineStr">
        <is>
          <t>terraform</t>
        </is>
      </c>
    </row>
    <row r="47">
      <c r="A47" s="3" t="inlineStr">
        <is>
          <t>cloudsql_db_name</t>
        </is>
      </c>
      <c r="B47" s="3" t="inlineStr">
        <is>
          <t>retail</t>
        </is>
      </c>
      <c r="C47" s="3" t="inlineStr">
        <is>
          <t>texto</t>
        </is>
      </c>
      <c r="D47" s="3" t="inlineStr">
        <is>
          <t>Base de datos de la aplicación</t>
        </is>
      </c>
      <c r="E47" s="3" t="inlineStr">
        <is>
          <t>terraform</t>
        </is>
      </c>
    </row>
    <row r="48">
      <c r="A48" s="3" t="inlineStr">
        <is>
          <t>cloudsql_user</t>
        </is>
      </c>
      <c r="B48" s="3" t="inlineStr">
        <is>
          <t>retail_app</t>
        </is>
      </c>
      <c r="C48" s="3" t="inlineStr">
        <is>
          <t>texto</t>
        </is>
      </c>
      <c r="D48" s="3" t="inlineStr">
        <is>
          <t>Usuario de base (contraseña generada en Secret Manager)</t>
        </is>
      </c>
      <c r="E48" s="3" t="inlineStr">
        <is>
          <t>terraform</t>
        </is>
      </c>
    </row>
    <row r="49">
      <c r="A49" s="3" t="inlineStr">
        <is>
          <t>cloudsql_backup_start</t>
        </is>
      </c>
      <c r="B49" s="5" t="inlineStr">
        <is>
          <t>06:00</t>
        </is>
      </c>
      <c r="C49" s="3" t="inlineStr">
        <is>
          <t>texto</t>
        </is>
      </c>
      <c r="D49" s="3" t="inlineStr">
        <is>
          <t>Hora UTC del backup diario (PITR activo)</t>
        </is>
      </c>
      <c r="E49" s="3" t="inlineStr">
        <is>
          <t>terraform</t>
        </is>
      </c>
    </row>
    <row r="50">
      <c r="A50" s="3" t="inlineStr">
        <is>
          <t>cloudsql_deletion_protection</t>
        </is>
      </c>
      <c r="B50" s="5" t="b">
        <v>0</v>
      </c>
      <c r="C50" s="3" t="inlineStr">
        <is>
          <t>booleano</t>
        </is>
      </c>
      <c r="D50" s="3" t="inlineStr">
        <is>
          <t>true en producción</t>
        </is>
      </c>
      <c r="E50" s="3" t="inlineStr">
        <is>
          <t>terraform</t>
        </is>
      </c>
    </row>
    <row r="51">
      <c r="A51" s="4" t="inlineStr">
        <is>
          <t># API y web (Cloud Run)</t>
        </is>
      </c>
      <c r="B51" s="4" t="n"/>
      <c r="C51" s="4" t="n"/>
      <c r="D51" s="4" t="n"/>
      <c r="E51" s="4" t="n"/>
    </row>
    <row r="52">
      <c r="A52" s="3" t="inlineStr">
        <is>
          <t>artifact_repo</t>
        </is>
      </c>
      <c r="B52" s="3" t="inlineStr">
        <is>
          <t>retail</t>
        </is>
      </c>
      <c r="C52" s="3" t="inlineStr">
        <is>
          <t>texto</t>
        </is>
      </c>
      <c r="D52" s="3" t="inlineStr">
        <is>
          <t>Repositorio Docker en Artifact Registry</t>
        </is>
      </c>
      <c r="E52" s="3" t="inlineStr">
        <is>
          <t>terraform, ops, github</t>
        </is>
      </c>
    </row>
    <row r="53">
      <c r="A53" s="3" t="inlineStr">
        <is>
          <t>cloudrun_service</t>
        </is>
      </c>
      <c r="B53" s="3" t="inlineStr">
        <is>
          <t>retail-api</t>
        </is>
      </c>
      <c r="C53" s="3" t="inlineStr">
        <is>
          <t>texto</t>
        </is>
      </c>
      <c r="D53" s="3" t="inlineStr">
        <is>
          <t>Servicio Cloud Run (API + web)</t>
        </is>
      </c>
      <c r="E53" s="3" t="inlineStr">
        <is>
          <t>terraform, ops, github</t>
        </is>
      </c>
    </row>
    <row r="54">
      <c r="A54" s="3" t="inlineStr">
        <is>
          <t>catalog_job</t>
        </is>
      </c>
      <c r="B54" s="3" t="inlineStr">
        <is>
          <t>retail-catalog</t>
        </is>
      </c>
      <c r="C54" s="3" t="inlineStr">
        <is>
          <t>texto</t>
        </is>
      </c>
      <c r="D54" s="3" t="inlineStr">
        <is>
          <t>Cloud Run Job que carga el catálogo Gold -&gt; Cloud SQL</t>
        </is>
      </c>
      <c r="E54" s="3" t="inlineStr">
        <is>
          <t>ops api</t>
        </is>
      </c>
    </row>
    <row r="55">
      <c r="A55" s="3" t="inlineStr">
        <is>
          <t>api_image</t>
        </is>
      </c>
      <c r="B55" s="3" t="inlineStr">
        <is>
          <t>us-docker.pkg.dev/cloudrun/container/hello</t>
        </is>
      </c>
      <c r="C55" s="3" t="inlineStr">
        <is>
          <t>texto</t>
        </is>
      </c>
      <c r="D55" s="3" t="inlineStr">
        <is>
          <t>Imagen inicial (luego ops api o GitHub la reemplazan)</t>
        </is>
      </c>
      <c r="E55" s="3" t="inlineStr">
        <is>
          <t>terraform</t>
        </is>
      </c>
    </row>
    <row r="56">
      <c r="A56" s="3" t="inlineStr">
        <is>
          <t>api_min_instances</t>
        </is>
      </c>
      <c r="B56" s="5" t="n">
        <v>0</v>
      </c>
      <c r="C56" s="3" t="inlineStr">
        <is>
          <t>numero</t>
        </is>
      </c>
      <c r="D56" s="3" t="inlineStr">
        <is>
          <t>0 = escala a cero; 1 en la demo evita arranque en frío</t>
        </is>
      </c>
      <c r="E56" s="3" t="inlineStr">
        <is>
          <t>terraform</t>
        </is>
      </c>
    </row>
    <row r="57">
      <c r="A57" s="3" t="inlineStr">
        <is>
          <t>api_max_instances</t>
        </is>
      </c>
      <c r="B57" s="5" t="n">
        <v>3</v>
      </c>
      <c r="C57" s="3" t="inlineStr">
        <is>
          <t>numero</t>
        </is>
      </c>
      <c r="D57" s="3" t="inlineStr">
        <is>
          <t>Tope de instancias</t>
        </is>
      </c>
      <c r="E57" s="3" t="inlineStr">
        <is>
          <t>terraform</t>
        </is>
      </c>
    </row>
    <row r="58">
      <c r="A58" s="3" t="inlineStr">
        <is>
          <t>api_cpu</t>
        </is>
      </c>
      <c r="B58" s="5" t="inlineStr">
        <is>
          <t>1</t>
        </is>
      </c>
      <c r="C58" s="3" t="inlineStr">
        <is>
          <t>texto</t>
        </is>
      </c>
      <c r="D58" s="3" t="inlineStr">
        <is>
          <t>vCPU por instancia</t>
        </is>
      </c>
      <c r="E58" s="3" t="inlineStr">
        <is>
          <t>terraform</t>
        </is>
      </c>
    </row>
    <row r="59">
      <c r="A59" s="3" t="inlineStr">
        <is>
          <t>api_memory</t>
        </is>
      </c>
      <c r="B59" s="5" t="inlineStr">
        <is>
          <t>512Mi</t>
        </is>
      </c>
      <c r="C59" s="3" t="inlineStr">
        <is>
          <t>texto</t>
        </is>
      </c>
      <c r="D59" s="3" t="inlineStr">
        <is>
          <t>Memoria por instancia</t>
        </is>
      </c>
      <c r="E59" s="3" t="inlineStr">
        <is>
          <t>terraform</t>
        </is>
      </c>
    </row>
    <row r="60">
      <c r="A60" s="3" t="inlineStr">
        <is>
          <t>api_public</t>
        </is>
      </c>
      <c r="B60" s="5" t="b">
        <v>1</v>
      </c>
      <c r="C60" s="3" t="inlineStr">
        <is>
          <t>booleano</t>
        </is>
      </c>
      <c r="D60" s="3" t="inlineStr">
        <is>
          <t>true = web accesible sin login</t>
        </is>
      </c>
      <c r="E60" s="3" t="inlineStr">
        <is>
          <t>terraform</t>
        </is>
      </c>
    </row>
    <row r="61">
      <c r="A61" s="3" t="inlineStr">
        <is>
          <t>assistant_mode</t>
        </is>
      </c>
      <c r="B61" s="5" t="inlineStr">
        <is>
          <t>gemini</t>
        </is>
      </c>
      <c r="C61" s="3" t="inlineStr">
        <is>
          <t>texto</t>
        </is>
      </c>
      <c r="D61" s="3" t="inlineStr">
        <is>
          <t>gemini | rules (rules = sin Vertex AI, costo 0)</t>
        </is>
      </c>
      <c r="E61" s="3" t="inlineStr">
        <is>
          <t>terraform, local</t>
        </is>
      </c>
    </row>
    <row r="62">
      <c r="A62" s="3" t="inlineStr">
        <is>
          <t>gemini_model</t>
        </is>
      </c>
      <c r="B62" s="5" t="inlineStr">
        <is>
          <t>gemini-3.1-flash-lite</t>
        </is>
      </c>
      <c r="C62" s="3" t="inlineStr">
        <is>
          <t>texto</t>
        </is>
      </c>
      <c r="D62" s="3" t="inlineStr">
        <is>
          <t>Modelo Vertex AI (2.5-flash-lite se retiró en Vertex el 20-oct-2026)</t>
        </is>
      </c>
      <c r="E62" s="3" t="inlineStr">
        <is>
          <t>terraform, local</t>
        </is>
      </c>
    </row>
    <row r="63">
      <c r="A63" s="3" t="inlineStr">
        <is>
          <t>gemini_location</t>
        </is>
      </c>
      <c r="B63" s="5" t="inlineStr">
        <is>
          <t>us-central1</t>
        </is>
      </c>
      <c r="C63" s="3" t="inlineStr">
        <is>
          <t>texto</t>
        </is>
      </c>
      <c r="D63" s="3" t="inlineStr">
        <is>
          <t>Región de Vertex AI</t>
        </is>
      </c>
      <c r="E63" s="3" t="inlineStr">
        <is>
          <t>terraform</t>
        </is>
      </c>
    </row>
    <row r="64">
      <c r="A64" s="3" t="inlineStr">
        <is>
          <t>price_demo_factor</t>
        </is>
      </c>
      <c r="B64" s="5" t="n">
        <v>500</v>
      </c>
      <c r="C64" s="3" t="inlineStr">
        <is>
          <t>numero</t>
        </is>
      </c>
      <c r="D64" s="3" t="inlineStr">
        <is>
          <t>Precio demo = precio normalizado H&amp;M x factor (sintético)</t>
        </is>
      </c>
      <c r="E64" s="3" t="inlineStr">
        <is>
          <t>terraform, sql gold, api</t>
        </is>
      </c>
    </row>
    <row r="65">
      <c r="A65" s="3" t="inlineStr">
        <is>
          <t>stock_demo</t>
        </is>
      </c>
      <c r="B65" s="5" t="n">
        <v>50</v>
      </c>
      <c r="C65" s="3" t="inlineStr">
        <is>
          <t>numero</t>
        </is>
      </c>
      <c r="D65" s="3" t="inlineStr">
        <is>
          <t>Stock simulado por artículo al cargar el catálogo</t>
        </is>
      </c>
      <c r="E65" s="3" t="inlineStr">
        <is>
          <t>ops api</t>
        </is>
      </c>
    </row>
    <row r="66">
      <c r="A66" s="3" t="inlineStr">
        <is>
          <t>demo_topup_max_cents</t>
        </is>
      </c>
      <c r="B66" s="5" t="n">
        <v>50000</v>
      </c>
      <c r="C66" s="3" t="inlineStr">
        <is>
          <t>numero</t>
        </is>
      </c>
      <c r="D66" s="3" t="inlineStr">
        <is>
          <t>Máximo por recarga demo</t>
        </is>
      </c>
      <c r="E66" s="3" t="inlineStr">
        <is>
          <t>terraform</t>
        </is>
      </c>
    </row>
    <row r="67">
      <c r="A67" s="3" t="inlineStr">
        <is>
          <t>admin_token_local</t>
        </is>
      </c>
      <c r="B67" s="5" t="inlineStr">
        <is>
          <t>cambia-este-token</t>
        </is>
      </c>
      <c r="C67" s="3" t="inlineStr">
        <is>
          <t>texto</t>
        </is>
      </c>
      <c r="D67" s="3" t="inlineStr">
        <is>
          <t>Token de recargas SOLO para ejecución local (en GCP se genera en Secret Manager)</t>
        </is>
      </c>
      <c r="E67" s="3" t="inlineStr">
        <is>
          <t>local</t>
        </is>
      </c>
    </row>
    <row r="68">
      <c r="A68" s="3" t="inlineStr">
        <is>
          <t>secret_db_url</t>
        </is>
      </c>
      <c r="B68" s="3" t="inlineStr">
        <is>
          <t>retail-db-url</t>
        </is>
      </c>
      <c r="C68" s="3" t="inlineStr">
        <is>
          <t>texto</t>
        </is>
      </c>
      <c r="D68" s="3" t="inlineStr">
        <is>
          <t>Secreto con la URL de conexión a Cloud SQL</t>
        </is>
      </c>
      <c r="E68" s="3" t="inlineStr">
        <is>
          <t>terraform, ops</t>
        </is>
      </c>
    </row>
    <row r="69">
      <c r="A69" s="3" t="inlineStr">
        <is>
          <t>secret_admin_token</t>
        </is>
      </c>
      <c r="B69" s="3" t="inlineStr">
        <is>
          <t>retail-admin-token</t>
        </is>
      </c>
      <c r="C69" s="3" t="inlineStr">
        <is>
          <t>texto</t>
        </is>
      </c>
      <c r="D69" s="3" t="inlineStr">
        <is>
          <t>Secreto con el token de recargas demo</t>
        </is>
      </c>
      <c r="E69" s="3" t="inlineStr">
        <is>
          <t>terraform, ops</t>
        </is>
      </c>
    </row>
    <row r="70">
      <c r="A70" s="4" t="inlineStr">
        <is>
          <t># CI/CD</t>
        </is>
      </c>
      <c r="B70" s="4" t="n"/>
      <c r="C70" s="4" t="n"/>
      <c r="D70" s="4" t="n"/>
      <c r="E70" s="4" t="n"/>
    </row>
    <row r="71">
      <c r="A71" s="3" t="inlineStr">
        <is>
          <t>github_repo</t>
        </is>
      </c>
      <c r="B71" s="5" t="inlineStr"/>
      <c r="C71" s="3" t="inlineStr">
        <is>
          <t>texto</t>
        </is>
      </c>
      <c r="D71" s="3" t="inlineStr">
        <is>
          <t>owner/repo para desplegar desde GitHub Actions sin llaves. Vacío = sin WIF</t>
        </is>
      </c>
      <c r="E71" s="3" t="inlineStr">
        <is>
          <t>terraform, github</t>
        </is>
      </c>
    </row>
    <row r="72">
      <c r="A72" s="3" t="inlineStr">
        <is>
          <t>wif_pool</t>
        </is>
      </c>
      <c r="B72" s="3" t="inlineStr">
        <is>
          <t>github</t>
        </is>
      </c>
      <c r="C72" s="3" t="inlineStr">
        <is>
          <t>texto</t>
        </is>
      </c>
      <c r="D72" s="3" t="inlineStr">
        <is>
          <t>Prefijo del Workload Identity Pool (se agrega -&lt;env&gt;)</t>
        </is>
      </c>
      <c r="E72" s="3" t="inlineStr">
        <is>
          <t>terraform</t>
        </is>
      </c>
    </row>
    <row r="73">
      <c r="A73" s="3" t="inlineStr">
        <is>
          <t>deployer_sa_key</t>
        </is>
      </c>
      <c r="B73" s="3" t="inlineStr">
        <is>
          <t>deployer</t>
        </is>
      </c>
      <c r="C73" s="3" t="inlineStr">
        <is>
          <t>texto</t>
        </is>
      </c>
      <c r="D73" s="3" t="inlineStr">
        <is>
          <t>Clave (hoja Cuentas_Servicio) de la cuenta que usa GitHub</t>
        </is>
      </c>
      <c r="E73" s="3" t="inlineStr">
        <is>
          <t>terraform, github</t>
        </is>
      </c>
    </row>
  </sheetData>
  <autoFilter ref="A1:E7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api</t>
        </is>
      </c>
      <c r="B1" s="1" t="inlineStr">
        <is>
          <t>motivo</t>
        </is>
      </c>
    </row>
    <row r="2">
      <c r="A2" s="5" t="inlineStr">
        <is>
          <t>serviceusage.googleapis.com</t>
        </is>
      </c>
      <c r="B2" s="3" t="inlineStr">
        <is>
          <t>Gestionar APIs</t>
        </is>
      </c>
    </row>
    <row r="3">
      <c r="A3" s="5" t="inlineStr">
        <is>
          <t>cloudresourcemanager.googleapis.com</t>
        </is>
      </c>
      <c r="B3" s="3" t="inlineStr">
        <is>
          <t>Proyecto e IAM</t>
        </is>
      </c>
    </row>
    <row r="4">
      <c r="A4" s="5" t="inlineStr">
        <is>
          <t>iam.googleapis.com</t>
        </is>
      </c>
      <c r="B4" s="3" t="inlineStr">
        <is>
          <t>Cuentas de servicio</t>
        </is>
      </c>
    </row>
    <row r="5">
      <c r="A5" s="5" t="inlineStr">
        <is>
          <t>iamcredentials.googleapis.com</t>
        </is>
      </c>
      <c r="B5" s="3" t="inlineStr">
        <is>
          <t>Tokens para WIF</t>
        </is>
      </c>
    </row>
    <row r="6">
      <c r="A6" s="5" t="inlineStr">
        <is>
          <t>sts.googleapis.com</t>
        </is>
      </c>
      <c r="B6" s="3" t="inlineStr">
        <is>
          <t>Workload Identity Federation</t>
        </is>
      </c>
    </row>
    <row r="7">
      <c r="A7" s="5" t="inlineStr">
        <is>
          <t>compute.googleapis.com</t>
        </is>
      </c>
      <c r="B7" s="3" t="inlineStr">
        <is>
          <t>Red para Dataproc/Dataflow</t>
        </is>
      </c>
    </row>
    <row r="8">
      <c r="A8" s="5" t="inlineStr">
        <is>
          <t>storage.googleapis.com</t>
        </is>
      </c>
      <c r="B8" s="3" t="inlineStr">
        <is>
          <t>Data Lake</t>
        </is>
      </c>
    </row>
    <row r="9">
      <c r="A9" s="5" t="inlineStr">
        <is>
          <t>bigquery.googleapis.com</t>
        </is>
      </c>
      <c r="B9" s="3" t="inlineStr">
        <is>
          <t>Data Warehouse</t>
        </is>
      </c>
    </row>
    <row r="10">
      <c r="A10" s="5" t="inlineStr">
        <is>
          <t>pubsub.googleapis.com</t>
        </is>
      </c>
      <c r="B10" s="3" t="inlineStr">
        <is>
          <t>Streaming</t>
        </is>
      </c>
    </row>
    <row r="11">
      <c r="A11" s="5" t="inlineStr">
        <is>
          <t>dataflow.googleapis.com</t>
        </is>
      </c>
      <c r="B11" s="3" t="inlineStr">
        <is>
          <t>Procesamiento streaming</t>
        </is>
      </c>
    </row>
    <row r="12">
      <c r="A12" s="5" t="inlineStr">
        <is>
          <t>dataproc.googleapis.com</t>
        </is>
      </c>
      <c r="B12" s="3" t="inlineStr">
        <is>
          <t>Spark serverless</t>
        </is>
      </c>
    </row>
    <row r="13">
      <c r="A13" s="5" t="inlineStr">
        <is>
          <t>run.googleapis.com</t>
        </is>
      </c>
      <c r="B13" s="3" t="inlineStr">
        <is>
          <t>API, web y jobs</t>
        </is>
      </c>
    </row>
    <row r="14">
      <c r="A14" s="5" t="inlineStr">
        <is>
          <t>cloudbuild.googleapis.com</t>
        </is>
      </c>
      <c r="B14" s="3" t="inlineStr">
        <is>
          <t>Construir la imagen de la API</t>
        </is>
      </c>
    </row>
    <row r="15">
      <c r="A15" s="5" t="inlineStr">
        <is>
          <t>artifactregistry.googleapis.com</t>
        </is>
      </c>
      <c r="B15" s="3" t="inlineStr">
        <is>
          <t>Imágenes Docker</t>
        </is>
      </c>
    </row>
    <row r="16">
      <c r="A16" s="5" t="inlineStr">
        <is>
          <t>aiplatform.googleapis.com</t>
        </is>
      </c>
      <c r="B16" s="3" t="inlineStr">
        <is>
          <t>Vertex AI Gemini</t>
        </is>
      </c>
    </row>
    <row r="17">
      <c r="A17" s="5" t="inlineStr">
        <is>
          <t>sqladmin.googleapis.com</t>
        </is>
      </c>
      <c r="B17" s="3" t="inlineStr">
        <is>
          <t>Cloud SQL</t>
        </is>
      </c>
    </row>
    <row r="18">
      <c r="A18" s="5" t="inlineStr">
        <is>
          <t>secretmanager.googleapis.com</t>
        </is>
      </c>
      <c r="B18" s="3" t="inlineStr">
        <is>
          <t>Secretos</t>
        </is>
      </c>
    </row>
    <row r="19">
      <c r="A19" s="5" t="inlineStr">
        <is>
          <t>billingbudgets.googleapis.com</t>
        </is>
      </c>
      <c r="B19" s="3" t="inlineStr">
        <is>
          <t>Presupuestos</t>
        </is>
      </c>
    </row>
    <row r="20">
      <c r="A20" s="5" t="inlineStr">
        <is>
          <t>cloudbilling.googleapis.com</t>
        </is>
      </c>
      <c r="B20" s="3" t="inlineStr">
        <is>
          <t>Facturación</t>
        </is>
      </c>
    </row>
    <row r="21">
      <c r="A21" s="5" t="inlineStr">
        <is>
          <t>monitoring.googleapis.com</t>
        </is>
      </c>
      <c r="B21" s="3" t="inlineStr">
        <is>
          <t>Métricas y alertas</t>
        </is>
      </c>
    </row>
    <row r="22">
      <c r="A22" s="5" t="inlineStr">
        <is>
          <t>logging.googleapis.com</t>
        </is>
      </c>
      <c r="B22" s="3" t="inlineStr">
        <is>
          <t>Logs</t>
        </is>
      </c>
    </row>
  </sheetData>
  <autoFilter ref="A1:B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60" customWidth="1" min="4" max="4"/>
  </cols>
  <sheetData>
    <row r="1">
      <c r="A1" s="1" t="inlineStr">
        <is>
          <t>clave</t>
        </is>
      </c>
      <c r="B1" s="1" t="inlineStr">
        <is>
          <t>account_id</t>
        </is>
      </c>
      <c r="C1" s="1" t="inlineStr">
        <is>
          <t>nombre</t>
        </is>
      </c>
      <c r="D1" s="1" t="inlineStr">
        <is>
          <t>descripcion</t>
        </is>
      </c>
    </row>
    <row r="2">
      <c r="A2" s="3" t="inlineStr">
        <is>
          <t>ingest</t>
        </is>
      </c>
      <c r="B2" s="3" t="inlineStr">
        <is>
          <t>sa-retail-ingest</t>
        </is>
      </c>
      <c r="C2" s="3" t="inlineStr">
        <is>
          <t>Retail ingesta</t>
        </is>
      </c>
      <c r="D2" s="3" t="inlineStr">
        <is>
          <t>Cargas a Bronze y publicación de eventos desde jobs</t>
        </is>
      </c>
    </row>
    <row r="3">
      <c r="A3" s="3" t="inlineStr">
        <is>
          <t>pipeline</t>
        </is>
      </c>
      <c r="B3" s="3" t="inlineStr">
        <is>
          <t>sa-retail-pipeline</t>
        </is>
      </c>
      <c r="C3" s="3" t="inlineStr">
        <is>
          <t>Retail pipelines</t>
        </is>
      </c>
      <c r="D3" s="3" t="inlineStr">
        <is>
          <t>Ejecuta Serverless Spark y Dataflow</t>
        </is>
      </c>
    </row>
    <row r="4">
      <c r="A4" s="3" t="inlineStr">
        <is>
          <t>api</t>
        </is>
      </c>
      <c r="B4" s="3" t="inlineStr">
        <is>
          <t>sa-retail-api</t>
        </is>
      </c>
      <c r="C4" s="3" t="inlineStr">
        <is>
          <t>Retail API</t>
        </is>
      </c>
      <c r="D4" s="3" t="inlineStr">
        <is>
          <t>Identidad de Cloud Run (API, web y job de catálogo)</t>
        </is>
      </c>
    </row>
    <row r="5">
      <c r="A5" s="3" t="inlineStr">
        <is>
          <t>deployer</t>
        </is>
      </c>
      <c r="B5" s="3" t="inlineStr">
        <is>
          <t>sa-retail-deployer</t>
        </is>
      </c>
      <c r="C5" s="3" t="inlineStr">
        <is>
          <t>Retail deployer</t>
        </is>
      </c>
      <c r="D5" s="3" t="inlineStr">
        <is>
          <t>GitHub Actions publica imágenes y despliega Cloud Run</t>
        </is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24" customWidth="1" min="3" max="3"/>
    <col width="52" customWidth="1" min="4" max="4"/>
    <col width="16" customWidth="1" min="5" max="5"/>
  </cols>
  <sheetData>
    <row r="1">
      <c r="A1" s="1" t="inlineStr">
        <is>
          <t>principal</t>
        </is>
      </c>
      <c r="B1" s="1" t="inlineStr">
        <is>
          <t>rol</t>
        </is>
      </c>
      <c r="C1" s="1" t="inlineStr">
        <is>
          <t>alcance</t>
        </is>
      </c>
      <c r="D1" s="1" t="inlineStr">
        <is>
          <t>motivo</t>
        </is>
      </c>
      <c r="E1" s="1" t="inlineStr">
        <is>
          <t>gestion</t>
        </is>
      </c>
    </row>
    <row r="2">
      <c r="A2" s="5" t="inlineStr">
        <is>
          <t>sa:ingest</t>
        </is>
      </c>
      <c r="B2" s="5" t="inlineStr">
        <is>
          <t>roles/storage.objectAdmin</t>
        </is>
      </c>
      <c r="C2" s="5" t="inlineStr">
        <is>
          <t>bucket:raw</t>
        </is>
      </c>
      <c r="D2" s="3" t="inlineStr">
        <is>
          <t>Escribir Bronze</t>
        </is>
      </c>
      <c r="E2" s="3" t="inlineStr">
        <is>
          <t>excel</t>
        </is>
      </c>
    </row>
    <row r="3">
      <c r="A3" s="5" t="inlineStr">
        <is>
          <t>sa:ingest</t>
        </is>
      </c>
      <c r="B3" s="5" t="inlineStr">
        <is>
          <t>roles/pubsub.publisher</t>
        </is>
      </c>
      <c r="C3" s="5" t="inlineStr">
        <is>
          <t>topic:events</t>
        </is>
      </c>
      <c r="D3" s="3" t="inlineStr">
        <is>
          <t>Publicar eventos</t>
        </is>
      </c>
      <c r="E3" s="3" t="inlineStr">
        <is>
          <t>excel</t>
        </is>
      </c>
    </row>
    <row r="4">
      <c r="A4" s="5" t="inlineStr">
        <is>
          <t>sa:pipeline</t>
        </is>
      </c>
      <c r="B4" s="5" t="inlineStr">
        <is>
          <t>roles/dataproc.worker</t>
        </is>
      </c>
      <c r="C4" s="5" t="inlineStr">
        <is>
          <t>proyecto</t>
        </is>
      </c>
      <c r="D4" s="3" t="inlineStr">
        <is>
          <t>Ejecutar Serverless Spark</t>
        </is>
      </c>
      <c r="E4" s="3" t="inlineStr">
        <is>
          <t>excel</t>
        </is>
      </c>
    </row>
    <row r="5">
      <c r="A5" s="5" t="inlineStr">
        <is>
          <t>sa:pipeline</t>
        </is>
      </c>
      <c r="B5" s="5" t="inlineStr">
        <is>
          <t>roles/dataflow.worker</t>
        </is>
      </c>
      <c r="C5" s="5" t="inlineStr">
        <is>
          <t>proyecto</t>
        </is>
      </c>
      <c r="D5" s="3" t="inlineStr">
        <is>
          <t>Ejecutar workers de Dataflow</t>
        </is>
      </c>
      <c r="E5" s="3" t="inlineStr">
        <is>
          <t>excel</t>
        </is>
      </c>
    </row>
    <row r="6">
      <c r="A6" s="5" t="inlineStr">
        <is>
          <t>sa:pipeline</t>
        </is>
      </c>
      <c r="B6" s="5" t="inlineStr">
        <is>
          <t>roles/bigquery.jobUser</t>
        </is>
      </c>
      <c r="C6" s="5" t="inlineStr">
        <is>
          <t>proyecto</t>
        </is>
      </c>
      <c r="D6" s="3" t="inlineStr">
        <is>
          <t>Ejecutar consultas y cargas</t>
        </is>
      </c>
      <c r="E6" s="3" t="inlineStr">
        <is>
          <t>excel</t>
        </is>
      </c>
    </row>
    <row r="7">
      <c r="A7" s="5" t="inlineStr">
        <is>
          <t>sa:pipeline</t>
        </is>
      </c>
      <c r="B7" s="5" t="inlineStr">
        <is>
          <t>roles/storage.objectViewer</t>
        </is>
      </c>
      <c r="C7" s="5" t="inlineStr">
        <is>
          <t>bucket:raw</t>
        </is>
      </c>
      <c r="D7" s="3" t="inlineStr">
        <is>
          <t>Leer Bronze</t>
        </is>
      </c>
      <c r="E7" s="3" t="inlineStr">
        <is>
          <t>excel</t>
        </is>
      </c>
    </row>
    <row r="8">
      <c r="A8" s="5" t="inlineStr">
        <is>
          <t>sa:pipeline</t>
        </is>
      </c>
      <c r="B8" s="5" t="inlineStr">
        <is>
          <t>roles/storage.objectAdmin</t>
        </is>
      </c>
      <c r="C8" s="5" t="inlineStr">
        <is>
          <t>bucket:lake</t>
        </is>
      </c>
      <c r="D8" s="3" t="inlineStr">
        <is>
          <t>Escribir Silver/Gold y temporales</t>
        </is>
      </c>
      <c r="E8" s="3" t="inlineStr">
        <is>
          <t>excel</t>
        </is>
      </c>
    </row>
    <row r="9">
      <c r="A9" s="5" t="inlineStr">
        <is>
          <t>sa:pipeline</t>
        </is>
      </c>
      <c r="B9" s="5" t="inlineStr">
        <is>
          <t>roles/bigquery.dataEditor</t>
        </is>
      </c>
      <c r="C9" s="5" t="inlineStr">
        <is>
          <t>dataset:silver</t>
        </is>
      </c>
      <c r="D9" s="3" t="inlineStr">
        <is>
          <t>Escribir Silver</t>
        </is>
      </c>
      <c r="E9" s="3" t="inlineStr">
        <is>
          <t>excel</t>
        </is>
      </c>
    </row>
    <row r="10">
      <c r="A10" s="5" t="inlineStr">
        <is>
          <t>sa:pipeline</t>
        </is>
      </c>
      <c r="B10" s="5" t="inlineStr">
        <is>
          <t>roles/bigquery.dataEditor</t>
        </is>
      </c>
      <c r="C10" s="5" t="inlineStr">
        <is>
          <t>dataset:gold</t>
        </is>
      </c>
      <c r="D10" s="3" t="inlineStr">
        <is>
          <t>Escribir Gold</t>
        </is>
      </c>
      <c r="E10" s="3" t="inlineStr">
        <is>
          <t>excel</t>
        </is>
      </c>
    </row>
    <row r="11">
      <c r="A11" s="5" t="inlineStr">
        <is>
          <t>sa:pipeline</t>
        </is>
      </c>
      <c r="B11" s="5" t="inlineStr">
        <is>
          <t>roles/bigquery.dataEditor</t>
        </is>
      </c>
      <c r="C11" s="5" t="inlineStr">
        <is>
          <t>dataset:ops</t>
        </is>
      </c>
      <c r="D11" s="3" t="inlineStr">
        <is>
          <t>Métricas de streaming y DLQ</t>
        </is>
      </c>
      <c r="E11" s="3" t="inlineStr">
        <is>
          <t>excel</t>
        </is>
      </c>
    </row>
    <row r="12">
      <c r="A12" s="5" t="inlineStr">
        <is>
          <t>sa:pipeline</t>
        </is>
      </c>
      <c r="B12" s="5" t="inlineStr">
        <is>
          <t>roles/pubsub.subscriber</t>
        </is>
      </c>
      <c r="C12" s="5" t="inlineStr">
        <is>
          <t>subscription:dataflow</t>
        </is>
      </c>
      <c r="D12" s="3" t="inlineStr">
        <is>
          <t>Consumir eventos</t>
        </is>
      </c>
      <c r="E12" s="3" t="inlineStr">
        <is>
          <t>excel</t>
        </is>
      </c>
    </row>
    <row r="13">
      <c r="A13" s="5" t="inlineStr">
        <is>
          <t>sa:pipeline</t>
        </is>
      </c>
      <c r="B13" s="5" t="inlineStr">
        <is>
          <t>roles/pubsub.viewer</t>
        </is>
      </c>
      <c r="C13" s="5" t="inlineStr">
        <is>
          <t>subscription:dataflow</t>
        </is>
      </c>
      <c r="D13" s="3" t="inlineStr">
        <is>
          <t>Dataflow consulta la suscripción</t>
        </is>
      </c>
      <c r="E13" s="3" t="inlineStr">
        <is>
          <t>excel</t>
        </is>
      </c>
    </row>
    <row r="14">
      <c r="A14" s="5" t="inlineStr">
        <is>
          <t>sa:api</t>
        </is>
      </c>
      <c r="B14" s="5" t="inlineStr">
        <is>
          <t>roles/bigquery.jobUser</t>
        </is>
      </c>
      <c r="C14" s="5" t="inlineStr">
        <is>
          <t>proyecto</t>
        </is>
      </c>
      <c r="D14" s="3" t="inlineStr">
        <is>
          <t>Consultar el catálogo Gold</t>
        </is>
      </c>
      <c r="E14" s="3" t="inlineStr">
        <is>
          <t>excel</t>
        </is>
      </c>
    </row>
    <row r="15">
      <c r="A15" s="5" t="inlineStr">
        <is>
          <t>sa:api</t>
        </is>
      </c>
      <c r="B15" s="5" t="inlineStr">
        <is>
          <t>roles/bigquery.dataViewer</t>
        </is>
      </c>
      <c r="C15" s="5" t="inlineStr">
        <is>
          <t>dataset:gold</t>
        </is>
      </c>
      <c r="D15" s="3" t="inlineStr">
        <is>
          <t>Leer Gold</t>
        </is>
      </c>
      <c r="E15" s="3" t="inlineStr">
        <is>
          <t>excel</t>
        </is>
      </c>
    </row>
    <row r="16">
      <c r="A16" s="5" t="inlineStr">
        <is>
          <t>sa:api</t>
        </is>
      </c>
      <c r="B16" s="5" t="inlineStr">
        <is>
          <t>roles/aiplatform.user</t>
        </is>
      </c>
      <c r="C16" s="5" t="inlineStr">
        <is>
          <t>proyecto</t>
        </is>
      </c>
      <c r="D16" s="3" t="inlineStr">
        <is>
          <t>Invocar Gemini</t>
        </is>
      </c>
      <c r="E16" s="3" t="inlineStr">
        <is>
          <t>excel</t>
        </is>
      </c>
    </row>
    <row r="17">
      <c r="A17" s="5" t="inlineStr">
        <is>
          <t>sa:api</t>
        </is>
      </c>
      <c r="B17" s="5" t="inlineStr">
        <is>
          <t>roles/cloudsql.client</t>
        </is>
      </c>
      <c r="C17" s="5" t="inlineStr">
        <is>
          <t>proyecto</t>
        </is>
      </c>
      <c r="D17" s="3" t="inlineStr">
        <is>
          <t>Conectarse a Cloud SQL</t>
        </is>
      </c>
      <c r="E17" s="3" t="inlineStr">
        <is>
          <t>excel</t>
        </is>
      </c>
    </row>
    <row r="18">
      <c r="A18" s="5" t="inlineStr">
        <is>
          <t>sa:api</t>
        </is>
      </c>
      <c r="B18" s="5" t="inlineStr">
        <is>
          <t>roles/secretmanager.secretAccessor</t>
        </is>
      </c>
      <c r="C18" s="5" t="inlineStr">
        <is>
          <t>proyecto</t>
        </is>
      </c>
      <c r="D18" s="3" t="inlineStr">
        <is>
          <t>Leer URL de base y token admin</t>
        </is>
      </c>
      <c r="E18" s="3" t="inlineStr">
        <is>
          <t>excel</t>
        </is>
      </c>
    </row>
    <row r="19">
      <c r="A19" s="5" t="inlineStr">
        <is>
          <t>sa:api</t>
        </is>
      </c>
      <c r="B19" s="5" t="inlineStr">
        <is>
          <t>roles/pubsub.publisher</t>
        </is>
      </c>
      <c r="C19" s="5" t="inlineStr">
        <is>
          <t>topic:events</t>
        </is>
      </c>
      <c r="D19" s="3" t="inlineStr">
        <is>
          <t>Publicar compras de la web</t>
        </is>
      </c>
      <c r="E19" s="3" t="inlineStr">
        <is>
          <t>excel</t>
        </is>
      </c>
    </row>
    <row r="20">
      <c r="A20" s="5" t="inlineStr">
        <is>
          <t>sa:api</t>
        </is>
      </c>
      <c r="B20" s="5" t="inlineStr">
        <is>
          <t>roles/storage.objectViewer</t>
        </is>
      </c>
      <c r="C20" s="5" t="inlineStr">
        <is>
          <t>bucket:raw</t>
        </is>
      </c>
      <c r="D20" s="3" t="inlineStr">
        <is>
          <t>Servir imágenes H&amp;M</t>
        </is>
      </c>
      <c r="E20" s="3" t="inlineStr">
        <is>
          <t>excel</t>
        </is>
      </c>
    </row>
    <row r="21">
      <c r="A21" s="5" t="inlineStr">
        <is>
          <t>sa:deployer</t>
        </is>
      </c>
      <c r="B21" s="5" t="inlineStr">
        <is>
          <t>roles/run.admin</t>
        </is>
      </c>
      <c r="C21" s="5" t="inlineStr">
        <is>
          <t>proyecto</t>
        </is>
      </c>
      <c r="D21" s="3" t="inlineStr">
        <is>
          <t>Desplegar Cloud Run</t>
        </is>
      </c>
      <c r="E21" s="3" t="inlineStr">
        <is>
          <t>excel</t>
        </is>
      </c>
    </row>
    <row r="22">
      <c r="A22" s="5" t="inlineStr">
        <is>
          <t>sa:deployer</t>
        </is>
      </c>
      <c r="B22" s="5" t="inlineStr">
        <is>
          <t>roles/artifactregistry.writer</t>
        </is>
      </c>
      <c r="C22" s="5" t="inlineStr">
        <is>
          <t>proyecto</t>
        </is>
      </c>
      <c r="D22" s="3" t="inlineStr">
        <is>
          <t>Publicar imágenes</t>
        </is>
      </c>
      <c r="E22" s="3" t="inlineStr">
        <is>
          <t>excel</t>
        </is>
      </c>
    </row>
    <row r="23">
      <c r="A23" s="5" t="inlineStr">
        <is>
          <t>sa:deployer</t>
        </is>
      </c>
      <c r="B23" s="5" t="inlineStr">
        <is>
          <t>roles/iam.serviceAccountUser</t>
        </is>
      </c>
      <c r="C23" s="5" t="inlineStr">
        <is>
          <t>cuenta:api</t>
        </is>
      </c>
      <c r="D23" s="3" t="inlineStr">
        <is>
          <t>Desplegar revisiones que corren como sa-retail-api</t>
        </is>
      </c>
      <c r="E23" s="3" t="inlineStr">
        <is>
          <t>excel</t>
        </is>
      </c>
    </row>
    <row r="24">
      <c r="A24" s="5" t="inlineStr">
        <is>
          <t>compute-default</t>
        </is>
      </c>
      <c r="B24" s="5" t="inlineStr">
        <is>
          <t>roles/cloudbuild.builds.builder</t>
        </is>
      </c>
      <c r="C24" s="5" t="inlineStr">
        <is>
          <t>proyecto</t>
        </is>
      </c>
      <c r="D24" s="3" t="inlineStr">
        <is>
          <t>Cloud Build (ops api) construye la imagen</t>
        </is>
      </c>
      <c r="E24" s="3" t="inlineStr">
        <is>
          <t>excel</t>
        </is>
      </c>
    </row>
    <row r="25">
      <c r="A25" s="5" t="inlineStr">
        <is>
          <t>pubsub-agent</t>
        </is>
      </c>
      <c r="B25" s="5" t="inlineStr">
        <is>
          <t>roles/bigquery.dataEditor</t>
        </is>
      </c>
      <c r="C25" s="5" t="inlineStr">
        <is>
          <t>dataset:bronze</t>
        </is>
      </c>
      <c r="D25" s="3" t="inlineStr">
        <is>
          <t>Suscripción BigQuery escribe events_raw</t>
        </is>
      </c>
      <c r="E25" s="3" t="inlineStr">
        <is>
          <t>excel</t>
        </is>
      </c>
    </row>
    <row r="26">
      <c r="A26" s="5" t="inlineStr">
        <is>
          <t>pubsub-agent</t>
        </is>
      </c>
      <c r="B26" s="5" t="inlineStr">
        <is>
          <t>roles/bigquery.metadataViewer</t>
        </is>
      </c>
      <c r="C26" s="5" t="inlineStr">
        <is>
          <t>dataset:bronze</t>
        </is>
      </c>
      <c r="D26" s="3" t="inlineStr">
        <is>
          <t>Suscripción BigQuery valida el esquema</t>
        </is>
      </c>
      <c r="E26" s="3" t="inlineStr">
        <is>
          <t>excel</t>
        </is>
      </c>
    </row>
    <row r="27">
      <c r="A27" s="5" t="inlineStr">
        <is>
          <t>pubsub-agent</t>
        </is>
      </c>
      <c r="B27" s="5" t="inlineStr">
        <is>
          <t>roles/pubsub.publisher</t>
        </is>
      </c>
      <c r="C27" s="5" t="inlineStr">
        <is>
          <t>topic:dlq</t>
        </is>
      </c>
      <c r="D27" s="3" t="inlineStr">
        <is>
          <t>Reenviar mensajes fallidos a la DLQ</t>
        </is>
      </c>
      <c r="E27" s="3" t="inlineStr">
        <is>
          <t>excel</t>
        </is>
      </c>
    </row>
    <row r="28">
      <c r="A28" s="5" t="inlineStr">
        <is>
          <t>pubsub-agent</t>
        </is>
      </c>
      <c r="B28" s="5" t="inlineStr">
        <is>
          <t>roles/pubsub.subscriber</t>
        </is>
      </c>
      <c r="C28" s="5" t="inlineStr">
        <is>
          <t>subscription:bq</t>
        </is>
      </c>
      <c r="D28" s="3" t="inlineStr">
        <is>
          <t>Requisito de dead-letter</t>
        </is>
      </c>
      <c r="E28" s="3" t="inlineStr">
        <is>
          <t>excel</t>
        </is>
      </c>
    </row>
    <row r="29">
      <c r="A29" s="5" t="inlineStr">
        <is>
          <t>pubsub-agent</t>
        </is>
      </c>
      <c r="B29" s="5" t="inlineStr">
        <is>
          <t>roles/pubsub.subscriber</t>
        </is>
      </c>
      <c r="C29" s="5" t="inlineStr">
        <is>
          <t>subscription:dataflow</t>
        </is>
      </c>
      <c r="D29" s="3" t="inlineStr">
        <is>
          <t>Requisito de dead-letter</t>
        </is>
      </c>
      <c r="E29" s="3" t="inlineStr">
        <is>
          <t>excel</t>
        </is>
      </c>
    </row>
    <row r="30">
      <c r="A30" s="5" t="inlineStr">
        <is>
          <t>github:&lt;github_repo&gt;</t>
        </is>
      </c>
      <c r="B30" s="5" t="inlineStr">
        <is>
          <t>roles/iam.workloadIdentityUser</t>
        </is>
      </c>
      <c r="C30" s="5" t="inlineStr">
        <is>
          <t>cuenta:deployer</t>
        </is>
      </c>
      <c r="D30" s="3" t="inlineStr">
        <is>
          <t>GitHub Actions asume sa-retail-deployer (cicd.tf)</t>
        </is>
      </c>
      <c r="E30" s="3" t="inlineStr">
        <is>
          <t>fijo en código</t>
        </is>
      </c>
    </row>
    <row r="31">
      <c r="A31" s="5" t="inlineStr">
        <is>
          <t>usuario que crea el proyecto</t>
        </is>
      </c>
      <c r="B31" s="5" t="inlineStr">
        <is>
          <t>roles/owner</t>
        </is>
      </c>
      <c r="C31" s="5" t="inlineStr">
        <is>
          <t>proyecto</t>
        </is>
      </c>
      <c r="D31" s="3" t="inlineStr">
        <is>
          <t>Lo asigna GCP al crear el proyecto; no se puede otorgar por API</t>
        </is>
      </c>
      <c r="E31" s="3" t="inlineStr">
        <is>
          <t>informativo</t>
        </is>
      </c>
    </row>
  </sheetData>
  <autoFilter ref="A1:E31"/>
  <dataValidations count="1">
    <dataValidation sqref="E2:E60" showDropDown="0" showInputMessage="0" showErrorMessage="0" allowBlank="0" type="list">
      <formula1>"excel,fijo en código,informativo"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30" customWidth="1" min="4" max="4"/>
    <col width="24" customWidth="1" min="5" max="5"/>
    <col width="70" customWidth="1" min="6" max="6"/>
    <col width="12" customWidth="1" min="7" max="7"/>
    <col width="40" customWidth="1" min="8" max="8"/>
  </cols>
  <sheetData>
    <row r="1">
      <c r="A1" s="1" t="inlineStr">
        <is>
          <t>tipo</t>
        </is>
      </c>
      <c r="B1" s="1" t="inlineStr">
        <is>
          <t>id</t>
        </is>
      </c>
      <c r="C1" s="1" t="inlineStr">
        <is>
          <t>nombre</t>
        </is>
      </c>
      <c r="D1" s="1" t="inlineStr">
        <is>
          <t>email</t>
        </is>
      </c>
      <c r="E1" s="1" t="inlineStr">
        <is>
          <t>perfil</t>
        </is>
      </c>
      <c r="F1" s="1" t="inlineStr">
        <is>
          <t>roles_gcp</t>
        </is>
      </c>
      <c r="G1" s="1" t="inlineStr">
        <is>
          <t>saldo_inicial_cents</t>
        </is>
      </c>
      <c r="H1" s="1" t="inlineStr">
        <is>
          <t>notas</t>
        </is>
      </c>
    </row>
    <row r="2">
      <c r="A2" s="3" t="inlineStr">
        <is>
          <t>gcp</t>
        </is>
      </c>
      <c r="B2" s="3" t="inlineStr">
        <is>
          <t>estuardo</t>
        </is>
      </c>
      <c r="C2" s="3" t="inlineStr">
        <is>
          <t>Estuardo Oliver</t>
        </is>
      </c>
      <c r="D2" s="5" t="inlineStr"/>
      <c r="E2" s="3" t="inlineStr">
        <is>
          <t>ML / Analytics</t>
        </is>
      </c>
      <c r="F2" s="5" t="inlineStr">
        <is>
          <t>roles/bigquery.user;roles/bigquery.dataEditor;roles/aiplatform.user;roles/run.developer;roles/logging.viewer</t>
        </is>
      </c>
      <c r="G2" s="3" t="n"/>
      <c r="H2" s="3" t="inlineStr">
        <is>
          <t>Completar email para otorgar acceso</t>
        </is>
      </c>
    </row>
    <row r="3">
      <c r="A3" s="3" t="inlineStr">
        <is>
          <t>gcp</t>
        </is>
      </c>
      <c r="B3" s="3" t="inlineStr">
        <is>
          <t>winston</t>
        </is>
      </c>
      <c r="C3" s="3" t="inlineStr">
        <is>
          <t>Winston Quispe</t>
        </is>
      </c>
      <c r="D3" s="5" t="inlineStr"/>
      <c r="E3" s="3" t="inlineStr">
        <is>
          <t>Cloud Computing</t>
        </is>
      </c>
      <c r="F3" s="5" t="inlineStr">
        <is>
          <t>roles/editor;roles/resourcemanager.projectIamAdmin;roles/iam.serviceAccountUser</t>
        </is>
      </c>
      <c r="G3" s="3" t="n"/>
      <c r="H3" s="3" t="inlineStr">
        <is>
          <t>Si crea el proyecto ya es owner</t>
        </is>
      </c>
    </row>
    <row r="4">
      <c r="A4" s="3" t="inlineStr">
        <is>
          <t>gcp</t>
        </is>
      </c>
      <c r="B4" s="3" t="inlineStr">
        <is>
          <t>nicole</t>
        </is>
      </c>
      <c r="C4" s="3" t="inlineStr">
        <is>
          <t>Nicole Arenas</t>
        </is>
      </c>
      <c r="D4" s="5" t="inlineStr"/>
      <c r="E4" s="3" t="inlineStr">
        <is>
          <t>Datos + API + Modelado</t>
        </is>
      </c>
      <c r="F4" s="5" t="inlineStr">
        <is>
          <t>roles/bigquery.admin;roles/storage.admin;roles/dataproc.editor;roles/run.developer;roles/cloudsql.client;roles/iam.serviceAccountUser</t>
        </is>
      </c>
      <c r="G4" s="3" t="n"/>
      <c r="H4" s="3" t="inlineStr"/>
    </row>
    <row r="5">
      <c r="A5" s="3" t="inlineStr">
        <is>
          <t>gcp</t>
        </is>
      </c>
      <c r="B5" s="3" t="inlineStr">
        <is>
          <t>gianmarco</t>
        </is>
      </c>
      <c r="C5" s="3" t="inlineStr">
        <is>
          <t>Gianmarco Mejia</t>
        </is>
      </c>
      <c r="D5" s="5" t="inlineStr"/>
      <c r="E5" s="3" t="inlineStr">
        <is>
          <t>Dashboard / BI</t>
        </is>
      </c>
      <c r="F5" s="5" t="inlineStr">
        <is>
          <t>roles/bigquery.dataViewer;roles/bigquery.jobUser;roles/monitoring.viewer</t>
        </is>
      </c>
      <c r="G5" s="3" t="n"/>
      <c r="H5" s="3" t="inlineStr">
        <is>
          <t>Looker Studio usa estos permisos</t>
        </is>
      </c>
    </row>
    <row r="6">
      <c r="A6" s="3" t="inlineStr">
        <is>
          <t>app</t>
        </is>
      </c>
      <c r="B6" s="3" t="inlineStr">
        <is>
          <t>demo</t>
        </is>
      </c>
      <c r="C6" s="3" t="inlineStr">
        <is>
          <t>Usuario demo</t>
        </is>
      </c>
      <c r="D6" s="3" t="inlineStr"/>
      <c r="E6" s="3" t="inlineStr">
        <is>
          <t>Cliente demo</t>
        </is>
      </c>
      <c r="F6" s="3" t="inlineStr"/>
      <c r="G6" s="5" t="n">
        <v>20000</v>
      </c>
      <c r="H6" s="3" t="inlineStr">
        <is>
          <t>Saldo inicial simulado (centavos)</t>
        </is>
      </c>
    </row>
    <row r="7">
      <c r="A7" s="3" t="inlineStr">
        <is>
          <t>app</t>
        </is>
      </c>
      <c r="B7" s="3" t="inlineStr">
        <is>
          <t>demo2</t>
        </is>
      </c>
      <c r="C7" s="3" t="inlineStr">
        <is>
          <t>Usuario demo 2</t>
        </is>
      </c>
      <c r="D7" s="3" t="inlineStr"/>
      <c r="E7" s="3" t="inlineStr">
        <is>
          <t>Cliente demo sin historial (cold-start)</t>
        </is>
      </c>
      <c r="F7" s="3" t="inlineStr"/>
      <c r="G7" s="5" t="n">
        <v>0</v>
      </c>
      <c r="H7" s="3" t="inlineStr"/>
    </row>
    <row r="8">
      <c r="A8" s="3" t="inlineStr">
        <is>
          <t>app</t>
        </is>
      </c>
      <c r="B8" s="3" t="inlineStr">
        <is>
          <t>estuardo</t>
        </is>
      </c>
      <c r="C8" s="3" t="inlineStr">
        <is>
          <t>Estuardo Oliver</t>
        </is>
      </c>
      <c r="D8" s="3" t="inlineStr"/>
      <c r="E8" s="3" t="inlineStr">
        <is>
          <t>Equipo</t>
        </is>
      </c>
      <c r="F8" s="3" t="inlineStr"/>
      <c r="G8" s="5" t="n">
        <v>20000</v>
      </c>
      <c r="H8" s="3" t="inlineStr"/>
    </row>
    <row r="9">
      <c r="A9" s="3" t="inlineStr">
        <is>
          <t>app</t>
        </is>
      </c>
      <c r="B9" s="3" t="inlineStr">
        <is>
          <t>winston</t>
        </is>
      </c>
      <c r="C9" s="3" t="inlineStr">
        <is>
          <t>Winston Quispe</t>
        </is>
      </c>
      <c r="D9" s="3" t="inlineStr"/>
      <c r="E9" s="3" t="inlineStr">
        <is>
          <t>Equipo</t>
        </is>
      </c>
      <c r="F9" s="3" t="inlineStr"/>
      <c r="G9" s="5" t="n">
        <v>20000</v>
      </c>
      <c r="H9" s="3" t="inlineStr"/>
    </row>
    <row r="10">
      <c r="A10" s="3" t="inlineStr">
        <is>
          <t>app</t>
        </is>
      </c>
      <c r="B10" s="3" t="inlineStr">
        <is>
          <t>nicole</t>
        </is>
      </c>
      <c r="C10" s="3" t="inlineStr">
        <is>
          <t>Nicole Arenas</t>
        </is>
      </c>
      <c r="D10" s="3" t="inlineStr"/>
      <c r="E10" s="3" t="inlineStr">
        <is>
          <t>Equipo</t>
        </is>
      </c>
      <c r="F10" s="3" t="inlineStr"/>
      <c r="G10" s="5" t="n">
        <v>20000</v>
      </c>
      <c r="H10" s="3" t="inlineStr"/>
    </row>
    <row r="11">
      <c r="A11" s="3" t="inlineStr">
        <is>
          <t>app</t>
        </is>
      </c>
      <c r="B11" s="3" t="inlineStr">
        <is>
          <t>gianmarco</t>
        </is>
      </c>
      <c r="C11" s="3" t="inlineStr">
        <is>
          <t>Gianmarco Mejia</t>
        </is>
      </c>
      <c r="D11" s="3" t="inlineStr"/>
      <c r="E11" s="3" t="inlineStr">
        <is>
          <t>Equipo</t>
        </is>
      </c>
      <c r="F11" s="3" t="inlineStr"/>
      <c r="G11" s="5" t="n">
        <v>20000</v>
      </c>
      <c r="H11" s="3" t="inlineStr"/>
    </row>
    <row r="12">
      <c r="A12" s="3" t="inlineStr">
        <is>
          <t>base_datos</t>
        </is>
      </c>
      <c r="B12" s="3" t="inlineStr">
        <is>
          <t>retail_app</t>
        </is>
      </c>
      <c r="C12" s="3" t="inlineStr">
        <is>
          <t>Usuario de aplicación Cloud SQL</t>
        </is>
      </c>
      <c r="D12" s="3" t="inlineStr"/>
      <c r="E12" s="3" t="inlineStr"/>
      <c r="F12" s="3" t="inlineStr"/>
      <c r="G12" s="3" t="n"/>
      <c r="H12" s="3" t="inlineStr">
        <is>
          <t>Ver parámetro cloudsql_user; contraseña en secreto retail-db-url</t>
        </is>
      </c>
    </row>
    <row r="13">
      <c r="A13" s="3" t="inlineStr">
        <is>
          <t>admin_api</t>
        </is>
      </c>
      <c r="B13" s="3" t="inlineStr">
        <is>
          <t>X-Admin-Token</t>
        </is>
      </c>
      <c r="C13" s="3" t="inlineStr">
        <is>
          <t>Token de recargas demo</t>
        </is>
      </c>
      <c r="D13" s="3" t="inlineStr"/>
      <c r="E13" s="3" t="inlineStr"/>
      <c r="F13" s="3" t="inlineStr"/>
      <c r="G13" s="3" t="n"/>
      <c r="H13" s="3" t="inlineStr">
        <is>
          <t>Secreto retail-admin-token (nube) / admin_token_local (local)</t>
        </is>
      </c>
    </row>
  </sheetData>
  <autoFilter ref="A1:H13"/>
  <dataValidations count="1">
    <dataValidation sqref="A2:A42" showDropDown="0" showInputMessage="0" showErrorMessage="0" allowBlank="0" type="list">
      <formula1>"gcp,app,base_datos,admin_api"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  <col width="16" customWidth="1" min="4" max="4"/>
  </cols>
  <sheetData>
    <row r="1">
      <c r="A1" s="1" t="inlineStr">
        <is>
          <t>clave</t>
        </is>
      </c>
      <c r="B1" s="1" t="inlineStr">
        <is>
          <t>dataset_id</t>
        </is>
      </c>
      <c r="C1" s="1" t="inlineStr">
        <is>
          <t>descripcion</t>
        </is>
      </c>
      <c r="D1" s="1" t="inlineStr">
        <is>
          <t>borrar_contenido_en_destroy</t>
        </is>
      </c>
    </row>
    <row r="2">
      <c r="A2" s="3" t="inlineStr">
        <is>
          <t>bronze</t>
        </is>
      </c>
      <c r="B2" s="5" t="inlineStr">
        <is>
          <t>retail_bronze</t>
        </is>
      </c>
      <c r="C2" s="3" t="inlineStr">
        <is>
          <t>Datos crudos H&amp;M (tablas externas y nativa) y eventos sin procesar</t>
        </is>
      </c>
      <c r="D2" s="5" t="b">
        <v>1</v>
      </c>
    </row>
    <row r="3">
      <c r="A3" s="3" t="inlineStr">
        <is>
          <t>silver</t>
        </is>
      </c>
      <c r="B3" s="5" t="inlineStr">
        <is>
          <t>retail_silver</t>
        </is>
      </c>
      <c r="C3" s="3" t="inlineStr">
        <is>
          <t>Datos limpios y validados (Parquet cargado) y eventos deduplicados</t>
        </is>
      </c>
      <c r="D3" s="5" t="b">
        <v>1</v>
      </c>
    </row>
    <row r="4">
      <c r="A4" s="3" t="inlineStr">
        <is>
          <t>gold</t>
        </is>
      </c>
      <c r="B4" s="5" t="inlineStr">
        <is>
          <t>retail_gold</t>
        </is>
      </c>
      <c r="C4" s="3" t="inlineStr">
        <is>
          <t>Modelo estrella, recomendador y vistas para tableros</t>
        </is>
      </c>
      <c r="D4" s="5" t="b">
        <v>1</v>
      </c>
    </row>
    <row r="5">
      <c r="A5" s="3" t="inlineStr">
        <is>
          <t>ops</t>
        </is>
      </c>
      <c r="B5" s="5" t="inlineStr">
        <is>
          <t>retail_ops</t>
        </is>
      </c>
      <c r="C5" s="3" t="inlineStr">
        <is>
          <t>Operación: métricas de streaming, DLQ y costos</t>
        </is>
      </c>
      <c r="D5" s="5" t="b">
        <v>1</v>
      </c>
    </row>
  </sheetData>
  <autoFilter ref="A1: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0" customWidth="1" min="4" max="4"/>
    <col width="44" customWidth="1" min="5" max="5"/>
    <col width="14" customWidth="1" min="6" max="6"/>
    <col width="24" customWidth="1" min="7" max="7"/>
    <col width="52" customWidth="1" min="8" max="8"/>
  </cols>
  <sheetData>
    <row r="1">
      <c r="A1" s="1" t="inlineStr">
        <is>
          <t>motor</t>
        </is>
      </c>
      <c r="B1" s="1" t="inlineStr">
        <is>
          <t>dataset</t>
        </is>
      </c>
      <c r="C1" s="1" t="inlineStr">
        <is>
          <t>tabla</t>
        </is>
      </c>
      <c r="D1" s="1" t="inlineStr">
        <is>
          <t>tipo</t>
        </is>
      </c>
      <c r="E1" s="1" t="inlineStr">
        <is>
          <t>creado_por</t>
        </is>
      </c>
      <c r="F1" s="1" t="inlineStr">
        <is>
          <t>particion</t>
        </is>
      </c>
      <c r="G1" s="1" t="inlineStr">
        <is>
          <t>cluster</t>
        </is>
      </c>
      <c r="H1" s="1" t="inlineStr">
        <is>
          <t>descripcion</t>
        </is>
      </c>
    </row>
    <row r="2">
      <c r="A2" s="3" t="inlineStr">
        <is>
          <t>bigquery</t>
        </is>
      </c>
      <c r="B2" s="3" t="inlineStr">
        <is>
          <t>bronze</t>
        </is>
      </c>
      <c r="C2" s="3" t="inlineStr">
        <is>
          <t>ext_articles</t>
        </is>
      </c>
      <c r="D2" s="3" t="inlineStr">
        <is>
          <t>EXTERNAL</t>
        </is>
      </c>
      <c r="E2" s="3" t="inlineStr">
        <is>
          <t>sql/bronze/01_bronze_hm.sql</t>
        </is>
      </c>
      <c r="F2" s="3" t="inlineStr"/>
      <c r="G2" s="3" t="inlineStr"/>
      <c r="H2" s="3" t="inlineStr">
        <is>
          <t>CSV articles.csv en GCS (todo texto)</t>
        </is>
      </c>
    </row>
    <row r="3">
      <c r="A3" s="3" t="inlineStr">
        <is>
          <t>bigquery</t>
        </is>
      </c>
      <c r="B3" s="3" t="inlineStr">
        <is>
          <t>bronze</t>
        </is>
      </c>
      <c r="C3" s="3" t="inlineStr">
        <is>
          <t>ext_customers</t>
        </is>
      </c>
      <c r="D3" s="3" t="inlineStr">
        <is>
          <t>EXTERNAL</t>
        </is>
      </c>
      <c r="E3" s="3" t="inlineStr">
        <is>
          <t>sql/bronze/01_bronze_hm.sql</t>
        </is>
      </c>
      <c r="F3" s="3" t="inlineStr"/>
      <c r="G3" s="3" t="inlineStr"/>
      <c r="H3" s="3" t="inlineStr">
        <is>
          <t>CSV customers.csv en GCS (todo texto)</t>
        </is>
      </c>
    </row>
    <row r="4">
      <c r="A4" s="3" t="inlineStr">
        <is>
          <t>bigquery</t>
        </is>
      </c>
      <c r="B4" s="3" t="inlineStr">
        <is>
          <t>bronze</t>
        </is>
      </c>
      <c r="C4" s="3" t="inlineStr">
        <is>
          <t>ext_transactions</t>
        </is>
      </c>
      <c r="D4" s="3" t="inlineStr">
        <is>
          <t>EXTERNAL</t>
        </is>
      </c>
      <c r="E4" s="3" t="inlineStr">
        <is>
          <t>sql/bronze/01_bronze_hm.sql</t>
        </is>
      </c>
      <c r="F4" s="3" t="inlineStr"/>
      <c r="G4" s="3" t="inlineStr"/>
      <c r="H4" s="3" t="inlineStr">
        <is>
          <t>CSV transactions_train.csv en GCS</t>
        </is>
      </c>
    </row>
    <row r="5">
      <c r="A5" s="3" t="inlineStr">
        <is>
          <t>bigquery</t>
        </is>
      </c>
      <c r="B5" s="3" t="inlineStr">
        <is>
          <t>bronze</t>
        </is>
      </c>
      <c r="C5" s="3" t="inlineStr">
        <is>
          <t>transactions</t>
        </is>
      </c>
      <c r="D5" s="3" t="inlineStr">
        <is>
          <t>TABLE</t>
        </is>
      </c>
      <c r="E5" s="3" t="inlineStr">
        <is>
          <t>sql/bronze/01_bronze_hm.sql</t>
        </is>
      </c>
      <c r="F5" s="3" t="inlineStr">
        <is>
          <t>t_dat</t>
        </is>
      </c>
      <c r="G5" s="3" t="inlineStr">
        <is>
          <t>customer_id,article_id</t>
        </is>
      </c>
      <c r="H5" s="3" t="inlineStr">
        <is>
          <t>Copia nativa particionada de las transacciones</t>
        </is>
      </c>
    </row>
    <row r="6">
      <c r="A6" s="3" t="inlineStr">
        <is>
          <t>bigquery</t>
        </is>
      </c>
      <c r="B6" s="3" t="inlineStr">
        <is>
          <t>bronze</t>
        </is>
      </c>
      <c r="C6" s="3" t="inlineStr">
        <is>
          <t>events_raw</t>
        </is>
      </c>
      <c r="D6" s="3" t="inlineStr">
        <is>
          <t>TABLE</t>
        </is>
      </c>
      <c r="E6" s="3" t="inlineStr">
        <is>
          <t>terraform</t>
        </is>
      </c>
      <c r="F6" s="3" t="inlineStr">
        <is>
          <t>publish_time</t>
        </is>
      </c>
      <c r="G6" s="3" t="inlineStr"/>
      <c r="H6" s="3" t="inlineStr">
        <is>
          <t>Eventos tal como llegan por la suscripción Pub/Sub -&gt; BigQuery</t>
        </is>
      </c>
    </row>
    <row r="7">
      <c r="A7" s="3" t="inlineStr">
        <is>
          <t>bigquery</t>
        </is>
      </c>
      <c r="B7" s="3" t="inlineStr">
        <is>
          <t>silver</t>
        </is>
      </c>
      <c r="C7" s="3" t="inlineStr">
        <is>
          <t>articles</t>
        </is>
      </c>
      <c r="D7" s="3" t="inlineStr">
        <is>
          <t>TABLE</t>
        </is>
      </c>
      <c r="E7" s="3" t="inlineStr">
        <is>
          <t>pipelines/batch/silver_hm.py + sql/silver/01_load_silver.sql</t>
        </is>
      </c>
      <c r="F7" s="3" t="inlineStr"/>
      <c r="G7" s="3" t="inlineStr"/>
      <c r="H7" s="3" t="inlineStr">
        <is>
          <t>Artículos tipados; detail_desc imputada</t>
        </is>
      </c>
    </row>
    <row r="8">
      <c r="A8" s="3" t="inlineStr">
        <is>
          <t>bigquery</t>
        </is>
      </c>
      <c r="B8" s="3" t="inlineStr">
        <is>
          <t>silver</t>
        </is>
      </c>
      <c r="C8" s="3" t="inlineStr">
        <is>
          <t>customers</t>
        </is>
      </c>
      <c r="D8" s="3" t="inlineStr">
        <is>
          <t>TABLE</t>
        </is>
      </c>
      <c r="E8" s="3" t="inlineStr">
        <is>
          <t>pipelines/batch/silver_hm.py + sql/silver/01_load_silver.sql</t>
        </is>
      </c>
      <c r="F8" s="3" t="inlineStr"/>
      <c r="G8" s="3" t="inlineStr">
        <is>
          <t>customer_id</t>
        </is>
      </c>
      <c r="H8" s="3" t="inlineStr">
        <is>
          <t>Clientes con nulos tratados y banda de edad</t>
        </is>
      </c>
    </row>
    <row r="9">
      <c r="A9" s="3" t="inlineStr">
        <is>
          <t>bigquery</t>
        </is>
      </c>
      <c r="B9" s="3" t="inlineStr">
        <is>
          <t>silver</t>
        </is>
      </c>
      <c r="C9" s="3" t="inlineStr">
        <is>
          <t>transactions</t>
        </is>
      </c>
      <c r="D9" s="3" t="inlineStr">
        <is>
          <t>TABLE</t>
        </is>
      </c>
      <c r="E9" s="3" t="inlineStr">
        <is>
          <t>pipelines/batch/silver_hm.py + sql/silver/01_load_silver.sql</t>
        </is>
      </c>
      <c r="F9" s="3" t="inlineStr">
        <is>
          <t>t_dat</t>
        </is>
      </c>
      <c r="G9" s="3" t="inlineStr">
        <is>
          <t>customer_id,article_id</t>
        </is>
      </c>
      <c r="H9" s="3" t="inlineStr">
        <is>
          <t>Transacciones válidas (rechazos en quarantine/)</t>
        </is>
      </c>
    </row>
    <row r="10">
      <c r="A10" s="3" t="inlineStr">
        <is>
          <t>bigquery</t>
        </is>
      </c>
      <c r="B10" s="3" t="inlineStr">
        <is>
          <t>silver</t>
        </is>
      </c>
      <c r="C10" s="3" t="inlineStr">
        <is>
          <t>v_events</t>
        </is>
      </c>
      <c r="D10" s="3" t="inlineStr">
        <is>
          <t>VIEW</t>
        </is>
      </c>
      <c r="E10" s="3" t="inlineStr">
        <is>
          <t>sql/silver/01_load_silver.sql</t>
        </is>
      </c>
      <c r="F10" s="3" t="inlineStr"/>
      <c r="G10" s="3" t="inlineStr"/>
      <c r="H10" s="3" t="inlineStr">
        <is>
          <t>Eventos de events_raw deduplicados por event_id</t>
        </is>
      </c>
    </row>
    <row r="11">
      <c r="A11" s="3" t="inlineStr">
        <is>
          <t>bigquery</t>
        </is>
      </c>
      <c r="B11" s="3" t="inlineStr">
        <is>
          <t>gold</t>
        </is>
      </c>
      <c r="C11" s="3" t="inlineStr">
        <is>
          <t>dim_date</t>
        </is>
      </c>
      <c r="D11" s="3" t="inlineStr">
        <is>
          <t>TABLE</t>
        </is>
      </c>
      <c r="E11" s="3" t="inlineStr">
        <is>
          <t>sql/gold/01_gold_model.sql</t>
        </is>
      </c>
      <c r="F11" s="3" t="inlineStr"/>
      <c r="G11" s="3" t="inlineStr"/>
      <c r="H11" s="3" t="inlineStr">
        <is>
          <t>Calendario 2018-2027</t>
        </is>
      </c>
    </row>
    <row r="12">
      <c r="A12" s="3" t="inlineStr">
        <is>
          <t>bigquery</t>
        </is>
      </c>
      <c r="B12" s="3" t="inlineStr">
        <is>
          <t>gold</t>
        </is>
      </c>
      <c r="C12" s="3" t="inlineStr">
        <is>
          <t>dim_channel</t>
        </is>
      </c>
      <c r="D12" s="3" t="inlineStr">
        <is>
          <t>TABLE</t>
        </is>
      </c>
      <c r="E12" s="3" t="inlineStr">
        <is>
          <t>sql/gold/01_gold_model.sql</t>
        </is>
      </c>
      <c r="F12" s="3" t="inlineStr"/>
      <c r="G12" s="3" t="inlineStr"/>
      <c r="H12" s="3" t="inlineStr">
        <is>
          <t>Canales de venta (supuesto 1 tienda, 2 online)</t>
        </is>
      </c>
    </row>
    <row r="13">
      <c r="A13" s="3" t="inlineStr">
        <is>
          <t>bigquery</t>
        </is>
      </c>
      <c r="B13" s="3" t="inlineStr">
        <is>
          <t>gold</t>
        </is>
      </c>
      <c r="C13" s="3" t="inlineStr">
        <is>
          <t>dim_article</t>
        </is>
      </c>
      <c r="D13" s="3" t="inlineStr">
        <is>
          <t>TABLE</t>
        </is>
      </c>
      <c r="E13" s="3" t="inlineStr">
        <is>
          <t>sql/gold/01_gold_model.sql</t>
        </is>
      </c>
      <c r="F13" s="3" t="inlineStr"/>
      <c r="G13" s="3" t="inlineStr">
        <is>
          <t>article_id</t>
        </is>
      </c>
      <c r="H13" s="3" t="inlineStr">
        <is>
          <t>Dimensión producto</t>
        </is>
      </c>
    </row>
    <row r="14">
      <c r="A14" s="3" t="inlineStr">
        <is>
          <t>bigquery</t>
        </is>
      </c>
      <c r="B14" s="3" t="inlineStr">
        <is>
          <t>gold</t>
        </is>
      </c>
      <c r="C14" s="3" t="inlineStr">
        <is>
          <t>dim_customer</t>
        </is>
      </c>
      <c r="D14" s="3" t="inlineStr">
        <is>
          <t>TABLE</t>
        </is>
      </c>
      <c r="E14" s="3" t="inlineStr">
        <is>
          <t>sql/gold/01_gold_model.sql</t>
        </is>
      </c>
      <c r="F14" s="3" t="inlineStr"/>
      <c r="G14" s="3" t="inlineStr">
        <is>
          <t>customer_id</t>
        </is>
      </c>
      <c r="H14" s="3" t="inlineStr">
        <is>
          <t>Dimensión cliente seudonimizado</t>
        </is>
      </c>
    </row>
    <row r="15">
      <c r="A15" s="3" t="inlineStr">
        <is>
          <t>bigquery</t>
        </is>
      </c>
      <c r="B15" s="3" t="inlineStr">
        <is>
          <t>gold</t>
        </is>
      </c>
      <c r="C15" s="3" t="inlineStr">
        <is>
          <t>fact_sales</t>
        </is>
      </c>
      <c r="D15" s="3" t="inlineStr">
        <is>
          <t>TABLE</t>
        </is>
      </c>
      <c r="E15" s="3" t="inlineStr">
        <is>
          <t>sql/gold/01_gold_model.sql</t>
        </is>
      </c>
      <c r="F15" s="3" t="inlineStr">
        <is>
          <t>sale_date</t>
        </is>
      </c>
      <c r="G15" s="3" t="inlineStr">
        <is>
          <t>customer_id,article_id</t>
        </is>
      </c>
      <c r="H15" s="3" t="inlineStr">
        <is>
          <t>Línea de venta: histórico H&amp;M + eventos 2026</t>
        </is>
      </c>
    </row>
    <row r="16">
      <c r="A16" s="3" t="inlineStr">
        <is>
          <t>bigquery</t>
        </is>
      </c>
      <c r="B16" s="3" t="inlineStr">
        <is>
          <t>gold</t>
        </is>
      </c>
      <c r="C16" s="3" t="inlineStr">
        <is>
          <t>fact_orders</t>
        </is>
      </c>
      <c r="D16" s="3" t="inlineStr">
        <is>
          <t>TABLE</t>
        </is>
      </c>
      <c r="E16" s="3" t="inlineStr">
        <is>
          <t>sql/gold/01_gold_model.sql</t>
        </is>
      </c>
      <c r="F16" s="3" t="inlineStr">
        <is>
          <t>order_date</t>
        </is>
      </c>
      <c r="G16" s="3" t="inlineStr">
        <is>
          <t>customer_id</t>
        </is>
      </c>
      <c r="H16" s="3" t="inlineStr">
        <is>
          <t>Pedido = cliente + día + fuente</t>
        </is>
      </c>
    </row>
    <row r="17">
      <c r="A17" s="3" t="inlineStr">
        <is>
          <t>bigquery</t>
        </is>
      </c>
      <c r="B17" s="3" t="inlineStr">
        <is>
          <t>gold</t>
        </is>
      </c>
      <c r="C17" s="3" t="inlineStr">
        <is>
          <t>reco_popular</t>
        </is>
      </c>
      <c r="D17" s="3" t="inlineStr">
        <is>
          <t>TABLE</t>
        </is>
      </c>
      <c r="E17" s="3" t="inlineStr">
        <is>
          <t>sql/gold/01_gold_model.sql</t>
        </is>
      </c>
      <c r="F17" s="3" t="inlineStr"/>
      <c r="G17" s="3" t="inlineStr"/>
      <c r="H17" s="3" t="inlineStr">
        <is>
          <t>Top por grupo, última semana</t>
        </is>
      </c>
    </row>
    <row r="18">
      <c r="A18" s="3" t="inlineStr">
        <is>
          <t>bigquery</t>
        </is>
      </c>
      <c r="B18" s="3" t="inlineStr">
        <is>
          <t>gold</t>
        </is>
      </c>
      <c r="C18" s="3" t="inlineStr">
        <is>
          <t>v_catalog_serving</t>
        </is>
      </c>
      <c r="D18" s="3" t="inlineStr">
        <is>
          <t>VIEW</t>
        </is>
      </c>
      <c r="E18" s="3" t="inlineStr">
        <is>
          <t>sql/gold/01_gold_model.sql</t>
        </is>
      </c>
      <c r="F18" s="3" t="inlineStr"/>
      <c r="G18" s="3" t="inlineStr"/>
      <c r="H18" s="3" t="inlineStr">
        <is>
          <t>Catálogo que se copia a Cloud SQL</t>
        </is>
      </c>
    </row>
    <row r="19">
      <c r="A19" s="3" t="inlineStr">
        <is>
          <t>bigquery</t>
        </is>
      </c>
      <c r="B19" s="3" t="inlineStr">
        <is>
          <t>gold</t>
        </is>
      </c>
      <c r="C19" s="3" t="inlineStr">
        <is>
          <t>v_ventas_mensuales</t>
        </is>
      </c>
      <c r="D19" s="3" t="inlineStr">
        <is>
          <t>VIEW</t>
        </is>
      </c>
      <c r="E19" s="3" t="inlineStr">
        <is>
          <t>sql/gold/02_kpi_views.sql</t>
        </is>
      </c>
      <c r="F19" s="3" t="inlineStr"/>
      <c r="G19" s="3" t="inlineStr"/>
      <c r="H19" s="3" t="inlineStr">
        <is>
          <t>Tablero gerencial</t>
        </is>
      </c>
    </row>
    <row r="20">
      <c r="A20" s="3" t="inlineStr">
        <is>
          <t>bigquery</t>
        </is>
      </c>
      <c r="B20" s="3" t="inlineStr">
        <is>
          <t>gold</t>
        </is>
      </c>
      <c r="C20" s="3" t="inlineStr">
        <is>
          <t>v_top_articulos</t>
        </is>
      </c>
      <c r="D20" s="3" t="inlineStr">
        <is>
          <t>VIEW</t>
        </is>
      </c>
      <c r="E20" s="3" t="inlineStr">
        <is>
          <t>sql/gold/02_kpi_views.sql</t>
        </is>
      </c>
      <c r="F20" s="3" t="inlineStr"/>
      <c r="G20" s="3" t="inlineStr"/>
      <c r="H20" s="3" t="inlineStr">
        <is>
          <t>Tablero gerencial</t>
        </is>
      </c>
    </row>
    <row r="21">
      <c r="A21" s="3" t="inlineStr">
        <is>
          <t>bigquery</t>
        </is>
      </c>
      <c r="B21" s="3" t="inlineStr">
        <is>
          <t>gold</t>
        </is>
      </c>
      <c r="C21" s="3" t="inlineStr">
        <is>
          <t>v_recurrencia_clientes</t>
        </is>
      </c>
      <c r="D21" s="3" t="inlineStr">
        <is>
          <t>VIEW</t>
        </is>
      </c>
      <c r="E21" s="3" t="inlineStr">
        <is>
          <t>sql/gold/02_kpi_views.sql</t>
        </is>
      </c>
      <c r="F21" s="3" t="inlineStr"/>
      <c r="G21" s="3" t="inlineStr"/>
      <c r="H21" s="3" t="inlineStr">
        <is>
          <t>Tablero gerencial</t>
        </is>
      </c>
    </row>
    <row r="22">
      <c r="A22" s="3" t="inlineStr">
        <is>
          <t>bigquery</t>
        </is>
      </c>
      <c r="B22" s="3" t="inlineStr">
        <is>
          <t>ops</t>
        </is>
      </c>
      <c r="C22" s="3" t="inlineStr">
        <is>
          <t>stream_metrics_1m</t>
        </is>
      </c>
      <c r="D22" s="3" t="inlineStr">
        <is>
          <t>TABLE</t>
        </is>
      </c>
      <c r="E22" s="3" t="inlineStr">
        <is>
          <t>terraform</t>
        </is>
      </c>
      <c r="F22" s="3" t="inlineStr">
        <is>
          <t>window_start</t>
        </is>
      </c>
      <c r="G22" s="3" t="inlineStr"/>
      <c r="H22" s="3" t="inlineStr">
        <is>
          <t>Métricas de Dataflow por minuto</t>
        </is>
      </c>
    </row>
    <row r="23">
      <c r="A23" s="3" t="inlineStr">
        <is>
          <t>bigquery</t>
        </is>
      </c>
      <c r="B23" s="3" t="inlineStr">
        <is>
          <t>ops</t>
        </is>
      </c>
      <c r="C23" s="3" t="inlineStr">
        <is>
          <t>stream_dlq</t>
        </is>
      </c>
      <c r="D23" s="3" t="inlineStr">
        <is>
          <t>TABLE</t>
        </is>
      </c>
      <c r="E23" s="3" t="inlineStr">
        <is>
          <t>terraform</t>
        </is>
      </c>
      <c r="F23" s="3" t="inlineStr">
        <is>
          <t>recibido</t>
        </is>
      </c>
      <c r="G23" s="3" t="inlineStr"/>
      <c r="H23" s="3" t="inlineStr">
        <is>
          <t>Mensajes inválidos rechazados por Dataflow</t>
        </is>
      </c>
    </row>
    <row r="24">
      <c r="A24" s="3" t="inlineStr">
        <is>
          <t>bigquery</t>
        </is>
      </c>
      <c r="B24" s="3" t="inlineStr">
        <is>
          <t>ops</t>
        </is>
      </c>
      <c r="C24" s="3" t="inlineStr">
        <is>
          <t>v_stream_salud</t>
        </is>
      </c>
      <c r="D24" s="3" t="inlineStr">
        <is>
          <t>VIEW</t>
        </is>
      </c>
      <c r="E24" s="3" t="inlineStr">
        <is>
          <t>sql/gold/02_kpi_views.sql</t>
        </is>
      </c>
      <c r="F24" s="3" t="inlineStr"/>
      <c r="G24" s="3" t="inlineStr"/>
      <c r="H24" s="3" t="inlineStr">
        <is>
          <t>Tablero operativo</t>
        </is>
      </c>
    </row>
    <row r="25">
      <c r="A25" s="3" t="inlineStr">
        <is>
          <t>bigquery</t>
        </is>
      </c>
      <c r="B25" s="3" t="inlineStr">
        <is>
          <t>ops</t>
        </is>
      </c>
      <c r="C25" s="3" t="inlineStr">
        <is>
          <t>v_costo_real_mensual</t>
        </is>
      </c>
      <c r="D25" s="3" t="inlineStr">
        <is>
          <t>VIEW</t>
        </is>
      </c>
      <c r="E25" s="3" t="inlineStr">
        <is>
          <t>cost/real_cost_per_order.sql (opcional)</t>
        </is>
      </c>
      <c r="F25" s="3" t="inlineStr"/>
      <c r="G25" s="3" t="inlineStr"/>
      <c r="H25" s="3" t="inlineStr">
        <is>
          <t>Costo facturado y USD por pedido</t>
        </is>
      </c>
    </row>
    <row r="26">
      <c r="A26" s="3" t="inlineStr">
        <is>
          <t>cloudsql</t>
        </is>
      </c>
      <c r="B26" s="3" t="inlineStr">
        <is>
          <t>retail</t>
        </is>
      </c>
      <c r="C26" s="3" t="inlineStr">
        <is>
          <t>users</t>
        </is>
      </c>
      <c r="D26" s="3" t="inlineStr">
        <is>
          <t>TABLE</t>
        </is>
      </c>
      <c r="E26" s="3" t="inlineStr">
        <is>
          <t>api/schema.sql</t>
        </is>
      </c>
      <c r="F26" s="3" t="inlineStr"/>
      <c r="G26" s="3" t="inlineStr"/>
      <c r="H26" s="3" t="inlineStr">
        <is>
          <t>Usuarios de la tienda demo (semilla: hoja Usuarios tipo app)</t>
        </is>
      </c>
    </row>
    <row r="27">
      <c r="A27" s="3" t="inlineStr">
        <is>
          <t>cloudsql</t>
        </is>
      </c>
      <c r="B27" s="3" t="inlineStr">
        <is>
          <t>retail</t>
        </is>
      </c>
      <c r="C27" s="3" t="inlineStr">
        <is>
          <t>articles</t>
        </is>
      </c>
      <c r="D27" s="3" t="inlineStr">
        <is>
          <t>TABLE</t>
        </is>
      </c>
      <c r="E27" s="3" t="inlineStr">
        <is>
          <t>api/schema.sql</t>
        </is>
      </c>
      <c r="F27" s="3" t="inlineStr"/>
      <c r="G27" s="3" t="inlineStr"/>
      <c r="H27" s="3" t="inlineStr">
        <is>
          <t>Catálogo de servicio (copia de gold.v_catalog_serving)</t>
        </is>
      </c>
    </row>
    <row r="28">
      <c r="A28" s="3" t="inlineStr">
        <is>
          <t>cloudsql</t>
        </is>
      </c>
      <c r="B28" s="3" t="inlineStr">
        <is>
          <t>retail</t>
        </is>
      </c>
      <c r="C28" s="3" t="inlineStr">
        <is>
          <t>cart_items</t>
        </is>
      </c>
      <c r="D28" s="3" t="inlineStr">
        <is>
          <t>TABLE</t>
        </is>
      </c>
      <c r="E28" s="3" t="inlineStr">
        <is>
          <t>api/schema.sql</t>
        </is>
      </c>
      <c r="F28" s="3" t="inlineStr"/>
      <c r="G28" s="3" t="inlineStr"/>
      <c r="H28" s="3" t="inlineStr">
        <is>
          <t>Carrito</t>
        </is>
      </c>
    </row>
    <row r="29">
      <c r="A29" s="3" t="inlineStr">
        <is>
          <t>cloudsql</t>
        </is>
      </c>
      <c r="B29" s="3" t="inlineStr">
        <is>
          <t>retail</t>
        </is>
      </c>
      <c r="C29" s="3" t="inlineStr">
        <is>
          <t>orders</t>
        </is>
      </c>
      <c r="D29" s="3" t="inlineStr">
        <is>
          <t>TABLE</t>
        </is>
      </c>
      <c r="E29" s="3" t="inlineStr">
        <is>
          <t>api/schema.sql</t>
        </is>
      </c>
      <c r="F29" s="3" t="inlineStr"/>
      <c r="G29" s="3" t="inlineStr"/>
      <c r="H29" s="3" t="inlineStr">
        <is>
          <t>Pedidos</t>
        </is>
      </c>
    </row>
    <row r="30">
      <c r="A30" s="3" t="inlineStr">
        <is>
          <t>cloudsql</t>
        </is>
      </c>
      <c r="B30" s="3" t="inlineStr">
        <is>
          <t>retail</t>
        </is>
      </c>
      <c r="C30" s="3" t="inlineStr">
        <is>
          <t>order_lines</t>
        </is>
      </c>
      <c r="D30" s="3" t="inlineStr">
        <is>
          <t>TABLE</t>
        </is>
      </c>
      <c r="E30" s="3" t="inlineStr">
        <is>
          <t>api/schema.sql</t>
        </is>
      </c>
      <c r="F30" s="3" t="inlineStr"/>
      <c r="G30" s="3" t="inlineStr"/>
      <c r="H30" s="3" t="inlineStr">
        <is>
          <t>Líneas de pedido</t>
        </is>
      </c>
    </row>
    <row r="31">
      <c r="A31" s="3" t="inlineStr">
        <is>
          <t>cloudsql</t>
        </is>
      </c>
      <c r="B31" s="3" t="inlineStr">
        <is>
          <t>retail</t>
        </is>
      </c>
      <c r="C31" s="3" t="inlineStr">
        <is>
          <t>wallet_ledger</t>
        </is>
      </c>
      <c r="D31" s="3" t="inlineStr">
        <is>
          <t>TABLE</t>
        </is>
      </c>
      <c r="E31" s="3" t="inlineStr">
        <is>
          <t>api/schema.sql</t>
        </is>
      </c>
      <c r="F31" s="3" t="inlineStr"/>
      <c r="G31" s="3" t="inlineStr"/>
      <c r="H31" s="3" t="inlineStr">
        <is>
          <t>Movimientos de saldo append-only (saldo = suma)</t>
        </is>
      </c>
    </row>
  </sheetData>
  <autoFilter ref="A1:H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30" customWidth="1" min="4" max="4"/>
    <col width="12" customWidth="1" min="5" max="5"/>
    <col width="12" customWidth="1" min="6" max="6"/>
    <col width="44" customWidth="1" min="7" max="7"/>
  </cols>
  <sheetData>
    <row r="1">
      <c r="A1" s="1" t="inlineStr">
        <is>
          <t>motor</t>
        </is>
      </c>
      <c r="B1" s="1" t="inlineStr">
        <is>
          <t>dataset</t>
        </is>
      </c>
      <c r="C1" s="1" t="inlineStr">
        <is>
          <t>tabla</t>
        </is>
      </c>
      <c r="D1" s="1" t="inlineStr">
        <is>
          <t>columna</t>
        </is>
      </c>
      <c r="E1" s="1" t="inlineStr">
        <is>
          <t>tipo</t>
        </is>
      </c>
      <c r="F1" s="1" t="inlineStr">
        <is>
          <t>modo</t>
        </is>
      </c>
      <c r="G1" s="1" t="inlineStr">
        <is>
          <t>descripcion</t>
        </is>
      </c>
    </row>
    <row r="2">
      <c r="A2" s="3" t="inlineStr">
        <is>
          <t>bigquery</t>
        </is>
      </c>
      <c r="B2" s="3" t="inlineStr">
        <is>
          <t>bronze</t>
        </is>
      </c>
      <c r="C2" s="3" t="inlineStr">
        <is>
          <t>ext_articles</t>
        </is>
      </c>
      <c r="D2" s="3" t="inlineStr">
        <is>
          <t>article_id</t>
        </is>
      </c>
      <c r="E2" s="3" t="inlineStr">
        <is>
          <t>STRING</t>
        </is>
      </c>
      <c r="F2" s="3" t="inlineStr">
        <is>
          <t>NULLABLE</t>
        </is>
      </c>
      <c r="G2" s="3" t="inlineStr"/>
    </row>
    <row r="3">
      <c r="A3" s="3" t="inlineStr">
        <is>
          <t>bigquery</t>
        </is>
      </c>
      <c r="B3" s="3" t="inlineStr">
        <is>
          <t>bronze</t>
        </is>
      </c>
      <c r="C3" s="3" t="inlineStr">
        <is>
          <t>ext_articles</t>
        </is>
      </c>
      <c r="D3" s="3" t="inlineStr">
        <is>
          <t>product_code</t>
        </is>
      </c>
      <c r="E3" s="3" t="inlineStr">
        <is>
          <t>STRING</t>
        </is>
      </c>
      <c r="F3" s="3" t="inlineStr">
        <is>
          <t>NULLABLE</t>
        </is>
      </c>
      <c r="G3" s="3" t="inlineStr"/>
    </row>
    <row r="4">
      <c r="A4" s="3" t="inlineStr">
        <is>
          <t>bigquery</t>
        </is>
      </c>
      <c r="B4" s="3" t="inlineStr">
        <is>
          <t>bronze</t>
        </is>
      </c>
      <c r="C4" s="3" t="inlineStr">
        <is>
          <t>ext_articles</t>
        </is>
      </c>
      <c r="D4" s="3" t="inlineStr">
        <is>
          <t>prod_name</t>
        </is>
      </c>
      <c r="E4" s="3" t="inlineStr">
        <is>
          <t>STRING</t>
        </is>
      </c>
      <c r="F4" s="3" t="inlineStr">
        <is>
          <t>NULLABLE</t>
        </is>
      </c>
      <c r="G4" s="3" t="inlineStr"/>
    </row>
    <row r="5">
      <c r="A5" s="3" t="inlineStr">
        <is>
          <t>bigquery</t>
        </is>
      </c>
      <c r="B5" s="3" t="inlineStr">
        <is>
          <t>bronze</t>
        </is>
      </c>
      <c r="C5" s="3" t="inlineStr">
        <is>
          <t>ext_articles</t>
        </is>
      </c>
      <c r="D5" s="3" t="inlineStr">
        <is>
          <t>product_type_no</t>
        </is>
      </c>
      <c r="E5" s="3" t="inlineStr">
        <is>
          <t>STRING</t>
        </is>
      </c>
      <c r="F5" s="3" t="inlineStr">
        <is>
          <t>NULLABLE</t>
        </is>
      </c>
      <c r="G5" s="3" t="inlineStr"/>
    </row>
    <row r="6">
      <c r="A6" s="3" t="inlineStr">
        <is>
          <t>bigquery</t>
        </is>
      </c>
      <c r="B6" s="3" t="inlineStr">
        <is>
          <t>bronze</t>
        </is>
      </c>
      <c r="C6" s="3" t="inlineStr">
        <is>
          <t>ext_articles</t>
        </is>
      </c>
      <c r="D6" s="3" t="inlineStr">
        <is>
          <t>product_type_name</t>
        </is>
      </c>
      <c r="E6" s="3" t="inlineStr">
        <is>
          <t>STRING</t>
        </is>
      </c>
      <c r="F6" s="3" t="inlineStr">
        <is>
          <t>NULLABLE</t>
        </is>
      </c>
      <c r="G6" s="3" t="inlineStr"/>
    </row>
    <row r="7">
      <c r="A7" s="3" t="inlineStr">
        <is>
          <t>bigquery</t>
        </is>
      </c>
      <c r="B7" s="3" t="inlineStr">
        <is>
          <t>bronze</t>
        </is>
      </c>
      <c r="C7" s="3" t="inlineStr">
        <is>
          <t>ext_articles</t>
        </is>
      </c>
      <c r="D7" s="3" t="inlineStr">
        <is>
          <t>product_group_name</t>
        </is>
      </c>
      <c r="E7" s="3" t="inlineStr">
        <is>
          <t>STRING</t>
        </is>
      </c>
      <c r="F7" s="3" t="inlineStr">
        <is>
          <t>NULLABLE</t>
        </is>
      </c>
      <c r="G7" s="3" t="inlineStr"/>
    </row>
    <row r="8">
      <c r="A8" s="3" t="inlineStr">
        <is>
          <t>bigquery</t>
        </is>
      </c>
      <c r="B8" s="3" t="inlineStr">
        <is>
          <t>bronze</t>
        </is>
      </c>
      <c r="C8" s="3" t="inlineStr">
        <is>
          <t>ext_articles</t>
        </is>
      </c>
      <c r="D8" s="3" t="inlineStr">
        <is>
          <t>graphical_appearance_no</t>
        </is>
      </c>
      <c r="E8" s="3" t="inlineStr">
        <is>
          <t>STRING</t>
        </is>
      </c>
      <c r="F8" s="3" t="inlineStr">
        <is>
          <t>NULLABLE</t>
        </is>
      </c>
      <c r="G8" s="3" t="inlineStr"/>
    </row>
    <row r="9">
      <c r="A9" s="3" t="inlineStr">
        <is>
          <t>bigquery</t>
        </is>
      </c>
      <c r="B9" s="3" t="inlineStr">
        <is>
          <t>bronze</t>
        </is>
      </c>
      <c r="C9" s="3" t="inlineStr">
        <is>
          <t>ext_articles</t>
        </is>
      </c>
      <c r="D9" s="3" t="inlineStr">
        <is>
          <t>graphical_appearance_name</t>
        </is>
      </c>
      <c r="E9" s="3" t="inlineStr">
        <is>
          <t>STRING</t>
        </is>
      </c>
      <c r="F9" s="3" t="inlineStr">
        <is>
          <t>NULLABLE</t>
        </is>
      </c>
      <c r="G9" s="3" t="inlineStr"/>
    </row>
    <row r="10">
      <c r="A10" s="3" t="inlineStr">
        <is>
          <t>bigquery</t>
        </is>
      </c>
      <c r="B10" s="3" t="inlineStr">
        <is>
          <t>bronze</t>
        </is>
      </c>
      <c r="C10" s="3" t="inlineStr">
        <is>
          <t>ext_articles</t>
        </is>
      </c>
      <c r="D10" s="3" t="inlineStr">
        <is>
          <t>colour_group_code</t>
        </is>
      </c>
      <c r="E10" s="3" t="inlineStr">
        <is>
          <t>STRING</t>
        </is>
      </c>
      <c r="F10" s="3" t="inlineStr">
        <is>
          <t>NULLABLE</t>
        </is>
      </c>
      <c r="G10" s="3" t="inlineStr"/>
    </row>
    <row r="11">
      <c r="A11" s="3" t="inlineStr">
        <is>
          <t>bigquery</t>
        </is>
      </c>
      <c r="B11" s="3" t="inlineStr">
        <is>
          <t>bronze</t>
        </is>
      </c>
      <c r="C11" s="3" t="inlineStr">
        <is>
          <t>ext_articles</t>
        </is>
      </c>
      <c r="D11" s="3" t="inlineStr">
        <is>
          <t>colour_group_name</t>
        </is>
      </c>
      <c r="E11" s="3" t="inlineStr">
        <is>
          <t>STRING</t>
        </is>
      </c>
      <c r="F11" s="3" t="inlineStr">
        <is>
          <t>NULLABLE</t>
        </is>
      </c>
      <c r="G11" s="3" t="inlineStr"/>
    </row>
    <row r="12">
      <c r="A12" s="3" t="inlineStr">
        <is>
          <t>bigquery</t>
        </is>
      </c>
      <c r="B12" s="3" t="inlineStr">
        <is>
          <t>bronze</t>
        </is>
      </c>
      <c r="C12" s="3" t="inlineStr">
        <is>
          <t>ext_articles</t>
        </is>
      </c>
      <c r="D12" s="3" t="inlineStr">
        <is>
          <t>perceived_colour_value_id</t>
        </is>
      </c>
      <c r="E12" s="3" t="inlineStr">
        <is>
          <t>STRING</t>
        </is>
      </c>
      <c r="F12" s="3" t="inlineStr">
        <is>
          <t>NULLABLE</t>
        </is>
      </c>
      <c r="G12" s="3" t="inlineStr"/>
    </row>
    <row r="13">
      <c r="A13" s="3" t="inlineStr">
        <is>
          <t>bigquery</t>
        </is>
      </c>
      <c r="B13" s="3" t="inlineStr">
        <is>
          <t>bronze</t>
        </is>
      </c>
      <c r="C13" s="3" t="inlineStr">
        <is>
          <t>ext_articles</t>
        </is>
      </c>
      <c r="D13" s="3" t="inlineStr">
        <is>
          <t>perceived_colour_value_name</t>
        </is>
      </c>
      <c r="E13" s="3" t="inlineStr">
        <is>
          <t>STRING</t>
        </is>
      </c>
      <c r="F13" s="3" t="inlineStr">
        <is>
          <t>NULLABLE</t>
        </is>
      </c>
      <c r="G13" s="3" t="inlineStr"/>
    </row>
    <row r="14">
      <c r="A14" s="3" t="inlineStr">
        <is>
          <t>bigquery</t>
        </is>
      </c>
      <c r="B14" s="3" t="inlineStr">
        <is>
          <t>bronze</t>
        </is>
      </c>
      <c r="C14" s="3" t="inlineStr">
        <is>
          <t>ext_articles</t>
        </is>
      </c>
      <c r="D14" s="3" t="inlineStr">
        <is>
          <t>perceived_colour_master_id</t>
        </is>
      </c>
      <c r="E14" s="3" t="inlineStr">
        <is>
          <t>STRING</t>
        </is>
      </c>
      <c r="F14" s="3" t="inlineStr">
        <is>
          <t>NULLABLE</t>
        </is>
      </c>
      <c r="G14" s="3" t="inlineStr"/>
    </row>
    <row r="15">
      <c r="A15" s="3" t="inlineStr">
        <is>
          <t>bigquery</t>
        </is>
      </c>
      <c r="B15" s="3" t="inlineStr">
        <is>
          <t>bronze</t>
        </is>
      </c>
      <c r="C15" s="3" t="inlineStr">
        <is>
          <t>ext_articles</t>
        </is>
      </c>
      <c r="D15" s="3" t="inlineStr">
        <is>
          <t>perceived_colour_master_name</t>
        </is>
      </c>
      <c r="E15" s="3" t="inlineStr">
        <is>
          <t>STRING</t>
        </is>
      </c>
      <c r="F15" s="3" t="inlineStr">
        <is>
          <t>NULLABLE</t>
        </is>
      </c>
      <c r="G15" s="3" t="inlineStr"/>
    </row>
    <row r="16">
      <c r="A16" s="3" t="inlineStr">
        <is>
          <t>bigquery</t>
        </is>
      </c>
      <c r="B16" s="3" t="inlineStr">
        <is>
          <t>bronze</t>
        </is>
      </c>
      <c r="C16" s="3" t="inlineStr">
        <is>
          <t>ext_articles</t>
        </is>
      </c>
      <c r="D16" s="3" t="inlineStr">
        <is>
          <t>department_no</t>
        </is>
      </c>
      <c r="E16" s="3" t="inlineStr">
        <is>
          <t>STRING</t>
        </is>
      </c>
      <c r="F16" s="3" t="inlineStr">
        <is>
          <t>NULLABLE</t>
        </is>
      </c>
      <c r="G16" s="3" t="inlineStr"/>
    </row>
    <row r="17">
      <c r="A17" s="3" t="inlineStr">
        <is>
          <t>bigquery</t>
        </is>
      </c>
      <c r="B17" s="3" t="inlineStr">
        <is>
          <t>bronze</t>
        </is>
      </c>
      <c r="C17" s="3" t="inlineStr">
        <is>
          <t>ext_articles</t>
        </is>
      </c>
      <c r="D17" s="3" t="inlineStr">
        <is>
          <t>department_name</t>
        </is>
      </c>
      <c r="E17" s="3" t="inlineStr">
        <is>
          <t>STRING</t>
        </is>
      </c>
      <c r="F17" s="3" t="inlineStr">
        <is>
          <t>NULLABLE</t>
        </is>
      </c>
      <c r="G17" s="3" t="inlineStr"/>
    </row>
    <row r="18">
      <c r="A18" s="3" t="inlineStr">
        <is>
          <t>bigquery</t>
        </is>
      </c>
      <c r="B18" s="3" t="inlineStr">
        <is>
          <t>bronze</t>
        </is>
      </c>
      <c r="C18" s="3" t="inlineStr">
        <is>
          <t>ext_articles</t>
        </is>
      </c>
      <c r="D18" s="3" t="inlineStr">
        <is>
          <t>index_code</t>
        </is>
      </c>
      <c r="E18" s="3" t="inlineStr">
        <is>
          <t>STRING</t>
        </is>
      </c>
      <c r="F18" s="3" t="inlineStr">
        <is>
          <t>NULLABLE</t>
        </is>
      </c>
      <c r="G18" s="3" t="inlineStr"/>
    </row>
    <row r="19">
      <c r="A19" s="3" t="inlineStr">
        <is>
          <t>bigquery</t>
        </is>
      </c>
      <c r="B19" s="3" t="inlineStr">
        <is>
          <t>bronze</t>
        </is>
      </c>
      <c r="C19" s="3" t="inlineStr">
        <is>
          <t>ext_articles</t>
        </is>
      </c>
      <c r="D19" s="3" t="inlineStr">
        <is>
          <t>index_name</t>
        </is>
      </c>
      <c r="E19" s="3" t="inlineStr">
        <is>
          <t>STRING</t>
        </is>
      </c>
      <c r="F19" s="3" t="inlineStr">
        <is>
          <t>NULLABLE</t>
        </is>
      </c>
      <c r="G19" s="3" t="inlineStr"/>
    </row>
    <row r="20">
      <c r="A20" s="3" t="inlineStr">
        <is>
          <t>bigquery</t>
        </is>
      </c>
      <c r="B20" s="3" t="inlineStr">
        <is>
          <t>bronze</t>
        </is>
      </c>
      <c r="C20" s="3" t="inlineStr">
        <is>
          <t>ext_articles</t>
        </is>
      </c>
      <c r="D20" s="3" t="inlineStr">
        <is>
          <t>index_group_no</t>
        </is>
      </c>
      <c r="E20" s="3" t="inlineStr">
        <is>
          <t>STRING</t>
        </is>
      </c>
      <c r="F20" s="3" t="inlineStr">
        <is>
          <t>NULLABLE</t>
        </is>
      </c>
      <c r="G20" s="3" t="inlineStr"/>
    </row>
    <row r="21">
      <c r="A21" s="3" t="inlineStr">
        <is>
          <t>bigquery</t>
        </is>
      </c>
      <c r="B21" s="3" t="inlineStr">
        <is>
          <t>bronze</t>
        </is>
      </c>
      <c r="C21" s="3" t="inlineStr">
        <is>
          <t>ext_articles</t>
        </is>
      </c>
      <c r="D21" s="3" t="inlineStr">
        <is>
          <t>index_group_name</t>
        </is>
      </c>
      <c r="E21" s="3" t="inlineStr">
        <is>
          <t>STRING</t>
        </is>
      </c>
      <c r="F21" s="3" t="inlineStr">
        <is>
          <t>NULLABLE</t>
        </is>
      </c>
      <c r="G21" s="3" t="inlineStr"/>
    </row>
    <row r="22">
      <c r="A22" s="3" t="inlineStr">
        <is>
          <t>bigquery</t>
        </is>
      </c>
      <c r="B22" s="3" t="inlineStr">
        <is>
          <t>bronze</t>
        </is>
      </c>
      <c r="C22" s="3" t="inlineStr">
        <is>
          <t>ext_articles</t>
        </is>
      </c>
      <c r="D22" s="3" t="inlineStr">
        <is>
          <t>section_no</t>
        </is>
      </c>
      <c r="E22" s="3" t="inlineStr">
        <is>
          <t>STRING</t>
        </is>
      </c>
      <c r="F22" s="3" t="inlineStr">
        <is>
          <t>NULLABLE</t>
        </is>
      </c>
      <c r="G22" s="3" t="inlineStr"/>
    </row>
    <row r="23">
      <c r="A23" s="3" t="inlineStr">
        <is>
          <t>bigquery</t>
        </is>
      </c>
      <c r="B23" s="3" t="inlineStr">
        <is>
          <t>bronze</t>
        </is>
      </c>
      <c r="C23" s="3" t="inlineStr">
        <is>
          <t>ext_articles</t>
        </is>
      </c>
      <c r="D23" s="3" t="inlineStr">
        <is>
          <t>section_name</t>
        </is>
      </c>
      <c r="E23" s="3" t="inlineStr">
        <is>
          <t>STRING</t>
        </is>
      </c>
      <c r="F23" s="3" t="inlineStr">
        <is>
          <t>NULLABLE</t>
        </is>
      </c>
      <c r="G23" s="3" t="inlineStr"/>
    </row>
    <row r="24">
      <c r="A24" s="3" t="inlineStr">
        <is>
          <t>bigquery</t>
        </is>
      </c>
      <c r="B24" s="3" t="inlineStr">
        <is>
          <t>bronze</t>
        </is>
      </c>
      <c r="C24" s="3" t="inlineStr">
        <is>
          <t>ext_articles</t>
        </is>
      </c>
      <c r="D24" s="3" t="inlineStr">
        <is>
          <t>garment_group_no</t>
        </is>
      </c>
      <c r="E24" s="3" t="inlineStr">
        <is>
          <t>STRING</t>
        </is>
      </c>
      <c r="F24" s="3" t="inlineStr">
        <is>
          <t>NULLABLE</t>
        </is>
      </c>
      <c r="G24" s="3" t="inlineStr"/>
    </row>
    <row r="25">
      <c r="A25" s="3" t="inlineStr">
        <is>
          <t>bigquery</t>
        </is>
      </c>
      <c r="B25" s="3" t="inlineStr">
        <is>
          <t>bronze</t>
        </is>
      </c>
      <c r="C25" s="3" t="inlineStr">
        <is>
          <t>ext_articles</t>
        </is>
      </c>
      <c r="D25" s="3" t="inlineStr">
        <is>
          <t>garment_group_name</t>
        </is>
      </c>
      <c r="E25" s="3" t="inlineStr">
        <is>
          <t>STRING</t>
        </is>
      </c>
      <c r="F25" s="3" t="inlineStr">
        <is>
          <t>NULLABLE</t>
        </is>
      </c>
      <c r="G25" s="3" t="inlineStr"/>
    </row>
    <row r="26">
      <c r="A26" s="3" t="inlineStr">
        <is>
          <t>bigquery</t>
        </is>
      </c>
      <c r="B26" s="3" t="inlineStr">
        <is>
          <t>bronze</t>
        </is>
      </c>
      <c r="C26" s="3" t="inlineStr">
        <is>
          <t>ext_articles</t>
        </is>
      </c>
      <c r="D26" s="3" t="inlineStr">
        <is>
          <t>detail_desc</t>
        </is>
      </c>
      <c r="E26" s="3" t="inlineStr">
        <is>
          <t>STRING</t>
        </is>
      </c>
      <c r="F26" s="3" t="inlineStr">
        <is>
          <t>NULLABLE</t>
        </is>
      </c>
      <c r="G26" s="3" t="inlineStr"/>
    </row>
    <row r="27">
      <c r="A27" s="3" t="inlineStr">
        <is>
          <t>bigquery</t>
        </is>
      </c>
      <c r="B27" s="3" t="inlineStr">
        <is>
          <t>bronze</t>
        </is>
      </c>
      <c r="C27" s="3" t="inlineStr">
        <is>
          <t>ext_customers</t>
        </is>
      </c>
      <c r="D27" s="3" t="inlineStr">
        <is>
          <t>customer_id</t>
        </is>
      </c>
      <c r="E27" s="3" t="inlineStr">
        <is>
          <t>STRING</t>
        </is>
      </c>
      <c r="F27" s="3" t="inlineStr">
        <is>
          <t>NULLABLE</t>
        </is>
      </c>
      <c r="G27" s="3" t="inlineStr"/>
    </row>
    <row r="28">
      <c r="A28" s="3" t="inlineStr">
        <is>
          <t>bigquery</t>
        </is>
      </c>
      <c r="B28" s="3" t="inlineStr">
        <is>
          <t>bronze</t>
        </is>
      </c>
      <c r="C28" s="3" t="inlineStr">
        <is>
          <t>ext_customers</t>
        </is>
      </c>
      <c r="D28" s="3" t="inlineStr">
        <is>
          <t>FN</t>
        </is>
      </c>
      <c r="E28" s="3" t="inlineStr">
        <is>
          <t>STRING</t>
        </is>
      </c>
      <c r="F28" s="3" t="inlineStr">
        <is>
          <t>NULLABLE</t>
        </is>
      </c>
      <c r="G28" s="3" t="inlineStr"/>
    </row>
    <row r="29">
      <c r="A29" s="3" t="inlineStr">
        <is>
          <t>bigquery</t>
        </is>
      </c>
      <c r="B29" s="3" t="inlineStr">
        <is>
          <t>bronze</t>
        </is>
      </c>
      <c r="C29" s="3" t="inlineStr">
        <is>
          <t>ext_customers</t>
        </is>
      </c>
      <c r="D29" s="3" t="inlineStr">
        <is>
          <t>Active</t>
        </is>
      </c>
      <c r="E29" s="3" t="inlineStr">
        <is>
          <t>STRING</t>
        </is>
      </c>
      <c r="F29" s="3" t="inlineStr">
        <is>
          <t>NULLABLE</t>
        </is>
      </c>
      <c r="G29" s="3" t="inlineStr"/>
    </row>
    <row r="30">
      <c r="A30" s="3" t="inlineStr">
        <is>
          <t>bigquery</t>
        </is>
      </c>
      <c r="B30" s="3" t="inlineStr">
        <is>
          <t>bronze</t>
        </is>
      </c>
      <c r="C30" s="3" t="inlineStr">
        <is>
          <t>ext_customers</t>
        </is>
      </c>
      <c r="D30" s="3" t="inlineStr">
        <is>
          <t>club_member_status</t>
        </is>
      </c>
      <c r="E30" s="3" t="inlineStr">
        <is>
          <t>STRING</t>
        </is>
      </c>
      <c r="F30" s="3" t="inlineStr">
        <is>
          <t>NULLABLE</t>
        </is>
      </c>
      <c r="G30" s="3" t="inlineStr"/>
    </row>
    <row r="31">
      <c r="A31" s="3" t="inlineStr">
        <is>
          <t>bigquery</t>
        </is>
      </c>
      <c r="B31" s="3" t="inlineStr">
        <is>
          <t>bronze</t>
        </is>
      </c>
      <c r="C31" s="3" t="inlineStr">
        <is>
          <t>ext_customers</t>
        </is>
      </c>
      <c r="D31" s="3" t="inlineStr">
        <is>
          <t>fashion_news_frequency</t>
        </is>
      </c>
      <c r="E31" s="3" t="inlineStr">
        <is>
          <t>STRING</t>
        </is>
      </c>
      <c r="F31" s="3" t="inlineStr">
        <is>
          <t>NULLABLE</t>
        </is>
      </c>
      <c r="G31" s="3" t="inlineStr"/>
    </row>
    <row r="32">
      <c r="A32" s="3" t="inlineStr">
        <is>
          <t>bigquery</t>
        </is>
      </c>
      <c r="B32" s="3" t="inlineStr">
        <is>
          <t>bronze</t>
        </is>
      </c>
      <c r="C32" s="3" t="inlineStr">
        <is>
          <t>ext_customers</t>
        </is>
      </c>
      <c r="D32" s="3" t="inlineStr">
        <is>
          <t>age</t>
        </is>
      </c>
      <c r="E32" s="3" t="inlineStr">
        <is>
          <t>STRING</t>
        </is>
      </c>
      <c r="F32" s="3" t="inlineStr">
        <is>
          <t>NULLABLE</t>
        </is>
      </c>
      <c r="G32" s="3" t="inlineStr"/>
    </row>
    <row r="33">
      <c r="A33" s="3" t="inlineStr">
        <is>
          <t>bigquery</t>
        </is>
      </c>
      <c r="B33" s="3" t="inlineStr">
        <is>
          <t>bronze</t>
        </is>
      </c>
      <c r="C33" s="3" t="inlineStr">
        <is>
          <t>ext_customers</t>
        </is>
      </c>
      <c r="D33" s="3" t="inlineStr">
        <is>
          <t>postal_code</t>
        </is>
      </c>
      <c r="E33" s="3" t="inlineStr">
        <is>
          <t>STRING</t>
        </is>
      </c>
      <c r="F33" s="3" t="inlineStr">
        <is>
          <t>NULLABLE</t>
        </is>
      </c>
      <c r="G33" s="3" t="inlineStr"/>
    </row>
    <row r="34">
      <c r="A34" s="3" t="inlineStr">
        <is>
          <t>bigquery</t>
        </is>
      </c>
      <c r="B34" s="3" t="inlineStr">
        <is>
          <t>bronze</t>
        </is>
      </c>
      <c r="C34" s="3" t="inlineStr">
        <is>
          <t>ext_transactions</t>
        </is>
      </c>
      <c r="D34" s="3" t="inlineStr">
        <is>
          <t>t_dat</t>
        </is>
      </c>
      <c r="E34" s="3" t="inlineStr">
        <is>
          <t>DATE</t>
        </is>
      </c>
      <c r="F34" s="3" t="inlineStr">
        <is>
          <t>NULLABLE</t>
        </is>
      </c>
      <c r="G34" s="3" t="inlineStr"/>
    </row>
    <row r="35">
      <c r="A35" s="3" t="inlineStr">
        <is>
          <t>bigquery</t>
        </is>
      </c>
      <c r="B35" s="3" t="inlineStr">
        <is>
          <t>bronze</t>
        </is>
      </c>
      <c r="C35" s="3" t="inlineStr">
        <is>
          <t>ext_transactions</t>
        </is>
      </c>
      <c r="D35" s="3" t="inlineStr">
        <is>
          <t>customer_id</t>
        </is>
      </c>
      <c r="E35" s="3" t="inlineStr">
        <is>
          <t>STRING</t>
        </is>
      </c>
      <c r="F35" s="3" t="inlineStr">
        <is>
          <t>NULLABLE</t>
        </is>
      </c>
      <c r="G35" s="3" t="inlineStr"/>
    </row>
    <row r="36">
      <c r="A36" s="3" t="inlineStr">
        <is>
          <t>bigquery</t>
        </is>
      </c>
      <c r="B36" s="3" t="inlineStr">
        <is>
          <t>bronze</t>
        </is>
      </c>
      <c r="C36" s="3" t="inlineStr">
        <is>
          <t>ext_transactions</t>
        </is>
      </c>
      <c r="D36" s="3" t="inlineStr">
        <is>
          <t>article_id</t>
        </is>
      </c>
      <c r="E36" s="3" t="inlineStr">
        <is>
          <t>STRING</t>
        </is>
      </c>
      <c r="F36" s="3" t="inlineStr">
        <is>
          <t>NULLABLE</t>
        </is>
      </c>
      <c r="G36" s="3" t="inlineStr"/>
    </row>
    <row r="37">
      <c r="A37" s="3" t="inlineStr">
        <is>
          <t>bigquery</t>
        </is>
      </c>
      <c r="B37" s="3" t="inlineStr">
        <is>
          <t>bronze</t>
        </is>
      </c>
      <c r="C37" s="3" t="inlineStr">
        <is>
          <t>ext_transactions</t>
        </is>
      </c>
      <c r="D37" s="3" t="inlineStr">
        <is>
          <t>price</t>
        </is>
      </c>
      <c r="E37" s="3" t="inlineStr">
        <is>
          <t>FLOAT64</t>
        </is>
      </c>
      <c r="F37" s="3" t="inlineStr">
        <is>
          <t>NULLABLE</t>
        </is>
      </c>
      <c r="G37" s="3" t="inlineStr"/>
    </row>
    <row r="38">
      <c r="A38" s="3" t="inlineStr">
        <is>
          <t>bigquery</t>
        </is>
      </c>
      <c r="B38" s="3" t="inlineStr">
        <is>
          <t>bronze</t>
        </is>
      </c>
      <c r="C38" s="3" t="inlineStr">
        <is>
          <t>ext_transactions</t>
        </is>
      </c>
      <c r="D38" s="3" t="inlineStr">
        <is>
          <t>sales_channel_id</t>
        </is>
      </c>
      <c r="E38" s="3" t="inlineStr">
        <is>
          <t>INT64</t>
        </is>
      </c>
      <c r="F38" s="3" t="inlineStr">
        <is>
          <t>NULLABLE</t>
        </is>
      </c>
      <c r="G38" s="3" t="inlineStr"/>
    </row>
    <row r="39">
      <c r="A39" s="3" t="inlineStr">
        <is>
          <t>bigquery</t>
        </is>
      </c>
      <c r="B39" s="3" t="inlineStr">
        <is>
          <t>bronze</t>
        </is>
      </c>
      <c r="C39" s="3" t="inlineStr">
        <is>
          <t>transactions</t>
        </is>
      </c>
      <c r="D39" s="3" t="inlineStr">
        <is>
          <t>t_dat</t>
        </is>
      </c>
      <c r="E39" s="3" t="inlineStr">
        <is>
          <t>DATE</t>
        </is>
      </c>
      <c r="F39" s="3" t="inlineStr">
        <is>
          <t>NULLABLE</t>
        </is>
      </c>
      <c r="G39" s="3" t="inlineStr"/>
    </row>
    <row r="40">
      <c r="A40" s="3" t="inlineStr">
        <is>
          <t>bigquery</t>
        </is>
      </c>
      <c r="B40" s="3" t="inlineStr">
        <is>
          <t>bronze</t>
        </is>
      </c>
      <c r="C40" s="3" t="inlineStr">
        <is>
          <t>transactions</t>
        </is>
      </c>
      <c r="D40" s="3" t="inlineStr">
        <is>
          <t>customer_id</t>
        </is>
      </c>
      <c r="E40" s="3" t="inlineStr">
        <is>
          <t>STRING</t>
        </is>
      </c>
      <c r="F40" s="3" t="inlineStr">
        <is>
          <t>NULLABLE</t>
        </is>
      </c>
      <c r="G40" s="3" t="inlineStr"/>
    </row>
    <row r="41">
      <c r="A41" s="3" t="inlineStr">
        <is>
          <t>bigquery</t>
        </is>
      </c>
      <c r="B41" s="3" t="inlineStr">
        <is>
          <t>bronze</t>
        </is>
      </c>
      <c r="C41" s="3" t="inlineStr">
        <is>
          <t>transactions</t>
        </is>
      </c>
      <c r="D41" s="3" t="inlineStr">
        <is>
          <t>article_id</t>
        </is>
      </c>
      <c r="E41" s="3" t="inlineStr">
        <is>
          <t>STRING</t>
        </is>
      </c>
      <c r="F41" s="3" t="inlineStr">
        <is>
          <t>NULLABLE</t>
        </is>
      </c>
      <c r="G41" s="3" t="inlineStr"/>
    </row>
    <row r="42">
      <c r="A42" s="3" t="inlineStr">
        <is>
          <t>bigquery</t>
        </is>
      </c>
      <c r="B42" s="3" t="inlineStr">
        <is>
          <t>bronze</t>
        </is>
      </c>
      <c r="C42" s="3" t="inlineStr">
        <is>
          <t>transactions</t>
        </is>
      </c>
      <c r="D42" s="3" t="inlineStr">
        <is>
          <t>price</t>
        </is>
      </c>
      <c r="E42" s="3" t="inlineStr">
        <is>
          <t>FLOAT64</t>
        </is>
      </c>
      <c r="F42" s="3" t="inlineStr">
        <is>
          <t>NULLABLE</t>
        </is>
      </c>
      <c r="G42" s="3" t="inlineStr"/>
    </row>
    <row r="43">
      <c r="A43" s="3" t="inlineStr">
        <is>
          <t>bigquery</t>
        </is>
      </c>
      <c r="B43" s="3" t="inlineStr">
        <is>
          <t>bronze</t>
        </is>
      </c>
      <c r="C43" s="3" t="inlineStr">
        <is>
          <t>transactions</t>
        </is>
      </c>
      <c r="D43" s="3" t="inlineStr">
        <is>
          <t>sales_channel_id</t>
        </is>
      </c>
      <c r="E43" s="3" t="inlineStr">
        <is>
          <t>INT64</t>
        </is>
      </c>
      <c r="F43" s="3" t="inlineStr">
        <is>
          <t>NULLABLE</t>
        </is>
      </c>
      <c r="G43" s="3" t="inlineStr"/>
    </row>
    <row r="44">
      <c r="A44" s="3" t="inlineStr">
        <is>
          <t>bigquery</t>
        </is>
      </c>
      <c r="B44" s="3" t="inlineStr">
        <is>
          <t>bronze</t>
        </is>
      </c>
      <c r="C44" s="3" t="inlineStr">
        <is>
          <t>transactions</t>
        </is>
      </c>
      <c r="D44" s="3" t="inlineStr">
        <is>
          <t>_ingested_at</t>
        </is>
      </c>
      <c r="E44" s="3" t="inlineStr">
        <is>
          <t>TIMESTAMP</t>
        </is>
      </c>
      <c r="F44" s="3" t="inlineStr">
        <is>
          <t>NULLABLE</t>
        </is>
      </c>
      <c r="G44" s="3" t="inlineStr"/>
    </row>
    <row r="45">
      <c r="A45" s="3" t="inlineStr">
        <is>
          <t>bigquery</t>
        </is>
      </c>
      <c r="B45" s="3" t="inlineStr">
        <is>
          <t>bronze</t>
        </is>
      </c>
      <c r="C45" s="3" t="inlineStr">
        <is>
          <t>transactions</t>
        </is>
      </c>
      <c r="D45" s="3" t="inlineStr">
        <is>
          <t>_source_system</t>
        </is>
      </c>
      <c r="E45" s="3" t="inlineStr">
        <is>
          <t>STRING</t>
        </is>
      </c>
      <c r="F45" s="3" t="inlineStr">
        <is>
          <t>NULLABLE</t>
        </is>
      </c>
      <c r="G45" s="3" t="inlineStr"/>
    </row>
    <row r="46">
      <c r="A46" s="3" t="inlineStr">
        <is>
          <t>bigquery</t>
        </is>
      </c>
      <c r="B46" s="3" t="inlineStr">
        <is>
          <t>bronze</t>
        </is>
      </c>
      <c r="C46" s="3" t="inlineStr">
        <is>
          <t>events_raw</t>
        </is>
      </c>
      <c r="D46" s="3" t="inlineStr">
        <is>
          <t>subscription_name</t>
        </is>
      </c>
      <c r="E46" s="3" t="inlineStr">
        <is>
          <t>STRING</t>
        </is>
      </c>
      <c r="F46" s="3" t="inlineStr">
        <is>
          <t>NULLABLE</t>
        </is>
      </c>
      <c r="G46" s="3" t="inlineStr"/>
    </row>
    <row r="47">
      <c r="A47" s="3" t="inlineStr">
        <is>
          <t>bigquery</t>
        </is>
      </c>
      <c r="B47" s="3" t="inlineStr">
        <is>
          <t>bronze</t>
        </is>
      </c>
      <c r="C47" s="3" t="inlineStr">
        <is>
          <t>events_raw</t>
        </is>
      </c>
      <c r="D47" s="3" t="inlineStr">
        <is>
          <t>message_id</t>
        </is>
      </c>
      <c r="E47" s="3" t="inlineStr">
        <is>
          <t>STRING</t>
        </is>
      </c>
      <c r="F47" s="3" t="inlineStr">
        <is>
          <t>NULLABLE</t>
        </is>
      </c>
      <c r="G47" s="3" t="inlineStr"/>
    </row>
    <row r="48">
      <c r="A48" s="3" t="inlineStr">
        <is>
          <t>bigquery</t>
        </is>
      </c>
      <c r="B48" s="3" t="inlineStr">
        <is>
          <t>bronze</t>
        </is>
      </c>
      <c r="C48" s="3" t="inlineStr">
        <is>
          <t>events_raw</t>
        </is>
      </c>
      <c r="D48" s="3" t="inlineStr">
        <is>
          <t>publish_time</t>
        </is>
      </c>
      <c r="E48" s="3" t="inlineStr">
        <is>
          <t>TIMESTAMP</t>
        </is>
      </c>
      <c r="F48" s="3" t="inlineStr">
        <is>
          <t>NULLABLE</t>
        </is>
      </c>
      <c r="G48" s="3" t="inlineStr"/>
    </row>
    <row r="49">
      <c r="A49" s="3" t="inlineStr">
        <is>
          <t>bigquery</t>
        </is>
      </c>
      <c r="B49" s="3" t="inlineStr">
        <is>
          <t>bronze</t>
        </is>
      </c>
      <c r="C49" s="3" t="inlineStr">
        <is>
          <t>events_raw</t>
        </is>
      </c>
      <c r="D49" s="3" t="inlineStr">
        <is>
          <t>data</t>
        </is>
      </c>
      <c r="E49" s="3" t="inlineStr">
        <is>
          <t>STRING</t>
        </is>
      </c>
      <c r="F49" s="3" t="inlineStr">
        <is>
          <t>NULLABLE</t>
        </is>
      </c>
      <c r="G49" s="3" t="inlineStr">
        <is>
          <t>JSON del evento</t>
        </is>
      </c>
    </row>
    <row r="50">
      <c r="A50" s="3" t="inlineStr">
        <is>
          <t>bigquery</t>
        </is>
      </c>
      <c r="B50" s="3" t="inlineStr">
        <is>
          <t>bronze</t>
        </is>
      </c>
      <c r="C50" s="3" t="inlineStr">
        <is>
          <t>events_raw</t>
        </is>
      </c>
      <c r="D50" s="3" t="inlineStr">
        <is>
          <t>attributes</t>
        </is>
      </c>
      <c r="E50" s="3" t="inlineStr">
        <is>
          <t>STRING</t>
        </is>
      </c>
      <c r="F50" s="3" t="inlineStr">
        <is>
          <t>NULLABLE</t>
        </is>
      </c>
      <c r="G50" s="3" t="inlineStr"/>
    </row>
    <row r="51">
      <c r="A51" s="3" t="inlineStr">
        <is>
          <t>bigquery</t>
        </is>
      </c>
      <c r="B51" s="3" t="inlineStr">
        <is>
          <t>silver</t>
        </is>
      </c>
      <c r="C51" s="3" t="inlineStr">
        <is>
          <t>articles</t>
        </is>
      </c>
      <c r="D51" s="3" t="inlineStr">
        <is>
          <t>article_id</t>
        </is>
      </c>
      <c r="E51" s="3" t="inlineStr">
        <is>
          <t>STRING</t>
        </is>
      </c>
      <c r="F51" s="3" t="inlineStr">
        <is>
          <t>NULLABLE</t>
        </is>
      </c>
      <c r="G51" s="3" t="inlineStr"/>
    </row>
    <row r="52">
      <c r="A52" s="3" t="inlineStr">
        <is>
          <t>bigquery</t>
        </is>
      </c>
      <c r="B52" s="3" t="inlineStr">
        <is>
          <t>silver</t>
        </is>
      </c>
      <c r="C52" s="3" t="inlineStr">
        <is>
          <t>articles</t>
        </is>
      </c>
      <c r="D52" s="3" t="inlineStr">
        <is>
          <t>product_code</t>
        </is>
      </c>
      <c r="E52" s="3" t="inlineStr">
        <is>
          <t>STRING</t>
        </is>
      </c>
      <c r="F52" s="3" t="inlineStr">
        <is>
          <t>NULLABLE</t>
        </is>
      </c>
      <c r="G52" s="3" t="inlineStr"/>
    </row>
    <row r="53">
      <c r="A53" s="3" t="inlineStr">
        <is>
          <t>bigquery</t>
        </is>
      </c>
      <c r="B53" s="3" t="inlineStr">
        <is>
          <t>silver</t>
        </is>
      </c>
      <c r="C53" s="3" t="inlineStr">
        <is>
          <t>articles</t>
        </is>
      </c>
      <c r="D53" s="3" t="inlineStr">
        <is>
          <t>prod_name</t>
        </is>
      </c>
      <c r="E53" s="3" t="inlineStr">
        <is>
          <t>STRING</t>
        </is>
      </c>
      <c r="F53" s="3" t="inlineStr">
        <is>
          <t>NULLABLE</t>
        </is>
      </c>
      <c r="G53" s="3" t="inlineStr"/>
    </row>
    <row r="54">
      <c r="A54" s="3" t="inlineStr">
        <is>
          <t>bigquery</t>
        </is>
      </c>
      <c r="B54" s="3" t="inlineStr">
        <is>
          <t>silver</t>
        </is>
      </c>
      <c r="C54" s="3" t="inlineStr">
        <is>
          <t>articles</t>
        </is>
      </c>
      <c r="D54" s="3" t="inlineStr">
        <is>
          <t>product_type_no</t>
        </is>
      </c>
      <c r="E54" s="3" t="inlineStr">
        <is>
          <t>INT64</t>
        </is>
      </c>
      <c r="F54" s="3" t="inlineStr">
        <is>
          <t>NULLABLE</t>
        </is>
      </c>
      <c r="G54" s="3" t="inlineStr"/>
    </row>
    <row r="55">
      <c r="A55" s="3" t="inlineStr">
        <is>
          <t>bigquery</t>
        </is>
      </c>
      <c r="B55" s="3" t="inlineStr">
        <is>
          <t>silver</t>
        </is>
      </c>
      <c r="C55" s="3" t="inlineStr">
        <is>
          <t>articles</t>
        </is>
      </c>
      <c r="D55" s="3" t="inlineStr">
        <is>
          <t>product_type_name</t>
        </is>
      </c>
      <c r="E55" s="3" t="inlineStr">
        <is>
          <t>STRING</t>
        </is>
      </c>
      <c r="F55" s="3" t="inlineStr">
        <is>
          <t>NULLABLE</t>
        </is>
      </c>
      <c r="G55" s="3" t="inlineStr"/>
    </row>
    <row r="56">
      <c r="A56" s="3" t="inlineStr">
        <is>
          <t>bigquery</t>
        </is>
      </c>
      <c r="B56" s="3" t="inlineStr">
        <is>
          <t>silver</t>
        </is>
      </c>
      <c r="C56" s="3" t="inlineStr">
        <is>
          <t>articles</t>
        </is>
      </c>
      <c r="D56" s="3" t="inlineStr">
        <is>
          <t>product_group_name</t>
        </is>
      </c>
      <c r="E56" s="3" t="inlineStr">
        <is>
          <t>STRING</t>
        </is>
      </c>
      <c r="F56" s="3" t="inlineStr">
        <is>
          <t>NULLABLE</t>
        </is>
      </c>
      <c r="G56" s="3" t="inlineStr"/>
    </row>
    <row r="57">
      <c r="A57" s="3" t="inlineStr">
        <is>
          <t>bigquery</t>
        </is>
      </c>
      <c r="B57" s="3" t="inlineStr">
        <is>
          <t>silver</t>
        </is>
      </c>
      <c r="C57" s="3" t="inlineStr">
        <is>
          <t>articles</t>
        </is>
      </c>
      <c r="D57" s="3" t="inlineStr">
        <is>
          <t>graphical_appearance_no</t>
        </is>
      </c>
      <c r="E57" s="3" t="inlineStr">
        <is>
          <t>INT64</t>
        </is>
      </c>
      <c r="F57" s="3" t="inlineStr">
        <is>
          <t>NULLABLE</t>
        </is>
      </c>
      <c r="G57" s="3" t="inlineStr"/>
    </row>
    <row r="58">
      <c r="A58" s="3" t="inlineStr">
        <is>
          <t>bigquery</t>
        </is>
      </c>
      <c r="B58" s="3" t="inlineStr">
        <is>
          <t>silver</t>
        </is>
      </c>
      <c r="C58" s="3" t="inlineStr">
        <is>
          <t>articles</t>
        </is>
      </c>
      <c r="D58" s="3" t="inlineStr">
        <is>
          <t>graphical_appearance_name</t>
        </is>
      </c>
      <c r="E58" s="3" t="inlineStr">
        <is>
          <t>STRING</t>
        </is>
      </c>
      <c r="F58" s="3" t="inlineStr">
        <is>
          <t>NULLABLE</t>
        </is>
      </c>
      <c r="G58" s="3" t="inlineStr"/>
    </row>
    <row r="59">
      <c r="A59" s="3" t="inlineStr">
        <is>
          <t>bigquery</t>
        </is>
      </c>
      <c r="B59" s="3" t="inlineStr">
        <is>
          <t>silver</t>
        </is>
      </c>
      <c r="C59" s="3" t="inlineStr">
        <is>
          <t>articles</t>
        </is>
      </c>
      <c r="D59" s="3" t="inlineStr">
        <is>
          <t>colour_group_code</t>
        </is>
      </c>
      <c r="E59" s="3" t="inlineStr">
        <is>
          <t>INT64</t>
        </is>
      </c>
      <c r="F59" s="3" t="inlineStr">
        <is>
          <t>NULLABLE</t>
        </is>
      </c>
      <c r="G59" s="3" t="inlineStr"/>
    </row>
    <row r="60">
      <c r="A60" s="3" t="inlineStr">
        <is>
          <t>bigquery</t>
        </is>
      </c>
      <c r="B60" s="3" t="inlineStr">
        <is>
          <t>silver</t>
        </is>
      </c>
      <c r="C60" s="3" t="inlineStr">
        <is>
          <t>articles</t>
        </is>
      </c>
      <c r="D60" s="3" t="inlineStr">
        <is>
          <t>colour_group_name</t>
        </is>
      </c>
      <c r="E60" s="3" t="inlineStr">
        <is>
          <t>STRING</t>
        </is>
      </c>
      <c r="F60" s="3" t="inlineStr">
        <is>
          <t>NULLABLE</t>
        </is>
      </c>
      <c r="G60" s="3" t="inlineStr"/>
    </row>
    <row r="61">
      <c r="A61" s="3" t="inlineStr">
        <is>
          <t>bigquery</t>
        </is>
      </c>
      <c r="B61" s="3" t="inlineStr">
        <is>
          <t>silver</t>
        </is>
      </c>
      <c r="C61" s="3" t="inlineStr">
        <is>
          <t>articles</t>
        </is>
      </c>
      <c r="D61" s="3" t="inlineStr">
        <is>
          <t>perceived_colour_value_id</t>
        </is>
      </c>
      <c r="E61" s="3" t="inlineStr">
        <is>
          <t>INT64</t>
        </is>
      </c>
      <c r="F61" s="3" t="inlineStr">
        <is>
          <t>NULLABLE</t>
        </is>
      </c>
      <c r="G61" s="3" t="inlineStr"/>
    </row>
    <row r="62">
      <c r="A62" s="3" t="inlineStr">
        <is>
          <t>bigquery</t>
        </is>
      </c>
      <c r="B62" s="3" t="inlineStr">
        <is>
          <t>silver</t>
        </is>
      </c>
      <c r="C62" s="3" t="inlineStr">
        <is>
          <t>articles</t>
        </is>
      </c>
      <c r="D62" s="3" t="inlineStr">
        <is>
          <t>perceived_colour_value_name</t>
        </is>
      </c>
      <c r="E62" s="3" t="inlineStr">
        <is>
          <t>STRING</t>
        </is>
      </c>
      <c r="F62" s="3" t="inlineStr">
        <is>
          <t>NULLABLE</t>
        </is>
      </c>
      <c r="G62" s="3" t="inlineStr"/>
    </row>
    <row r="63">
      <c r="A63" s="3" t="inlineStr">
        <is>
          <t>bigquery</t>
        </is>
      </c>
      <c r="B63" s="3" t="inlineStr">
        <is>
          <t>silver</t>
        </is>
      </c>
      <c r="C63" s="3" t="inlineStr">
        <is>
          <t>articles</t>
        </is>
      </c>
      <c r="D63" s="3" t="inlineStr">
        <is>
          <t>perceived_colour_master_id</t>
        </is>
      </c>
      <c r="E63" s="3" t="inlineStr">
        <is>
          <t>INT64</t>
        </is>
      </c>
      <c r="F63" s="3" t="inlineStr">
        <is>
          <t>NULLABLE</t>
        </is>
      </c>
      <c r="G63" s="3" t="inlineStr"/>
    </row>
    <row r="64">
      <c r="A64" s="3" t="inlineStr">
        <is>
          <t>bigquery</t>
        </is>
      </c>
      <c r="B64" s="3" t="inlineStr">
        <is>
          <t>silver</t>
        </is>
      </c>
      <c r="C64" s="3" t="inlineStr">
        <is>
          <t>articles</t>
        </is>
      </c>
      <c r="D64" s="3" t="inlineStr">
        <is>
          <t>perceived_colour_master_name</t>
        </is>
      </c>
      <c r="E64" s="3" t="inlineStr">
        <is>
          <t>STRING</t>
        </is>
      </c>
      <c r="F64" s="3" t="inlineStr">
        <is>
          <t>NULLABLE</t>
        </is>
      </c>
      <c r="G64" s="3" t="inlineStr"/>
    </row>
    <row r="65">
      <c r="A65" s="3" t="inlineStr">
        <is>
          <t>bigquery</t>
        </is>
      </c>
      <c r="B65" s="3" t="inlineStr">
        <is>
          <t>silver</t>
        </is>
      </c>
      <c r="C65" s="3" t="inlineStr">
        <is>
          <t>articles</t>
        </is>
      </c>
      <c r="D65" s="3" t="inlineStr">
        <is>
          <t>department_no</t>
        </is>
      </c>
      <c r="E65" s="3" t="inlineStr">
        <is>
          <t>INT64</t>
        </is>
      </c>
      <c r="F65" s="3" t="inlineStr">
        <is>
          <t>NULLABLE</t>
        </is>
      </c>
      <c r="G65" s="3" t="inlineStr"/>
    </row>
    <row r="66">
      <c r="A66" s="3" t="inlineStr">
        <is>
          <t>bigquery</t>
        </is>
      </c>
      <c r="B66" s="3" t="inlineStr">
        <is>
          <t>silver</t>
        </is>
      </c>
      <c r="C66" s="3" t="inlineStr">
        <is>
          <t>articles</t>
        </is>
      </c>
      <c r="D66" s="3" t="inlineStr">
        <is>
          <t>department_name</t>
        </is>
      </c>
      <c r="E66" s="3" t="inlineStr">
        <is>
          <t>STRING</t>
        </is>
      </c>
      <c r="F66" s="3" t="inlineStr">
        <is>
          <t>NULLABLE</t>
        </is>
      </c>
      <c r="G66" s="3" t="inlineStr"/>
    </row>
    <row r="67">
      <c r="A67" s="3" t="inlineStr">
        <is>
          <t>bigquery</t>
        </is>
      </c>
      <c r="B67" s="3" t="inlineStr">
        <is>
          <t>silver</t>
        </is>
      </c>
      <c r="C67" s="3" t="inlineStr">
        <is>
          <t>articles</t>
        </is>
      </c>
      <c r="D67" s="3" t="inlineStr">
        <is>
          <t>index_code</t>
        </is>
      </c>
      <c r="E67" s="3" t="inlineStr">
        <is>
          <t>STRING</t>
        </is>
      </c>
      <c r="F67" s="3" t="inlineStr">
        <is>
          <t>NULLABLE</t>
        </is>
      </c>
      <c r="G67" s="3" t="inlineStr"/>
    </row>
    <row r="68">
      <c r="A68" s="3" t="inlineStr">
        <is>
          <t>bigquery</t>
        </is>
      </c>
      <c r="B68" s="3" t="inlineStr">
        <is>
          <t>silver</t>
        </is>
      </c>
      <c r="C68" s="3" t="inlineStr">
        <is>
          <t>articles</t>
        </is>
      </c>
      <c r="D68" s="3" t="inlineStr">
        <is>
          <t>index_name</t>
        </is>
      </c>
      <c r="E68" s="3" t="inlineStr">
        <is>
          <t>STRING</t>
        </is>
      </c>
      <c r="F68" s="3" t="inlineStr">
        <is>
          <t>NULLABLE</t>
        </is>
      </c>
      <c r="G68" s="3" t="inlineStr"/>
    </row>
    <row r="69">
      <c r="A69" s="3" t="inlineStr">
        <is>
          <t>bigquery</t>
        </is>
      </c>
      <c r="B69" s="3" t="inlineStr">
        <is>
          <t>silver</t>
        </is>
      </c>
      <c r="C69" s="3" t="inlineStr">
        <is>
          <t>articles</t>
        </is>
      </c>
      <c r="D69" s="3" t="inlineStr">
        <is>
          <t>index_group_no</t>
        </is>
      </c>
      <c r="E69" s="3" t="inlineStr">
        <is>
          <t>INT64</t>
        </is>
      </c>
      <c r="F69" s="3" t="inlineStr">
        <is>
          <t>NULLABLE</t>
        </is>
      </c>
      <c r="G69" s="3" t="inlineStr"/>
    </row>
    <row r="70">
      <c r="A70" s="3" t="inlineStr">
        <is>
          <t>bigquery</t>
        </is>
      </c>
      <c r="B70" s="3" t="inlineStr">
        <is>
          <t>silver</t>
        </is>
      </c>
      <c r="C70" s="3" t="inlineStr">
        <is>
          <t>articles</t>
        </is>
      </c>
      <c r="D70" s="3" t="inlineStr">
        <is>
          <t>index_group_name</t>
        </is>
      </c>
      <c r="E70" s="3" t="inlineStr">
        <is>
          <t>STRING</t>
        </is>
      </c>
      <c r="F70" s="3" t="inlineStr">
        <is>
          <t>NULLABLE</t>
        </is>
      </c>
      <c r="G70" s="3" t="inlineStr"/>
    </row>
    <row r="71">
      <c r="A71" s="3" t="inlineStr">
        <is>
          <t>bigquery</t>
        </is>
      </c>
      <c r="B71" s="3" t="inlineStr">
        <is>
          <t>silver</t>
        </is>
      </c>
      <c r="C71" s="3" t="inlineStr">
        <is>
          <t>articles</t>
        </is>
      </c>
      <c r="D71" s="3" t="inlineStr">
        <is>
          <t>section_no</t>
        </is>
      </c>
      <c r="E71" s="3" t="inlineStr">
        <is>
          <t>INT64</t>
        </is>
      </c>
      <c r="F71" s="3" t="inlineStr">
        <is>
          <t>NULLABLE</t>
        </is>
      </c>
      <c r="G71" s="3" t="inlineStr"/>
    </row>
    <row r="72">
      <c r="A72" s="3" t="inlineStr">
        <is>
          <t>bigquery</t>
        </is>
      </c>
      <c r="B72" s="3" t="inlineStr">
        <is>
          <t>silver</t>
        </is>
      </c>
      <c r="C72" s="3" t="inlineStr">
        <is>
          <t>articles</t>
        </is>
      </c>
      <c r="D72" s="3" t="inlineStr">
        <is>
          <t>section_name</t>
        </is>
      </c>
      <c r="E72" s="3" t="inlineStr">
        <is>
          <t>STRING</t>
        </is>
      </c>
      <c r="F72" s="3" t="inlineStr">
        <is>
          <t>NULLABLE</t>
        </is>
      </c>
      <c r="G72" s="3" t="inlineStr"/>
    </row>
    <row r="73">
      <c r="A73" s="3" t="inlineStr">
        <is>
          <t>bigquery</t>
        </is>
      </c>
      <c r="B73" s="3" t="inlineStr">
        <is>
          <t>silver</t>
        </is>
      </c>
      <c r="C73" s="3" t="inlineStr">
        <is>
          <t>articles</t>
        </is>
      </c>
      <c r="D73" s="3" t="inlineStr">
        <is>
          <t>garment_group_no</t>
        </is>
      </c>
      <c r="E73" s="3" t="inlineStr">
        <is>
          <t>INT64</t>
        </is>
      </c>
      <c r="F73" s="3" t="inlineStr">
        <is>
          <t>NULLABLE</t>
        </is>
      </c>
      <c r="G73" s="3" t="inlineStr"/>
    </row>
    <row r="74">
      <c r="A74" s="3" t="inlineStr">
        <is>
          <t>bigquery</t>
        </is>
      </c>
      <c r="B74" s="3" t="inlineStr">
        <is>
          <t>silver</t>
        </is>
      </c>
      <c r="C74" s="3" t="inlineStr">
        <is>
          <t>articles</t>
        </is>
      </c>
      <c r="D74" s="3" t="inlineStr">
        <is>
          <t>garment_group_name</t>
        </is>
      </c>
      <c r="E74" s="3" t="inlineStr">
        <is>
          <t>STRING</t>
        </is>
      </c>
      <c r="F74" s="3" t="inlineStr">
        <is>
          <t>NULLABLE</t>
        </is>
      </c>
      <c r="G74" s="3" t="inlineStr"/>
    </row>
    <row r="75">
      <c r="A75" s="3" t="inlineStr">
        <is>
          <t>bigquery</t>
        </is>
      </c>
      <c r="B75" s="3" t="inlineStr">
        <is>
          <t>silver</t>
        </is>
      </c>
      <c r="C75" s="3" t="inlineStr">
        <is>
          <t>articles</t>
        </is>
      </c>
      <c r="D75" s="3" t="inlineStr">
        <is>
          <t>detail_desc</t>
        </is>
      </c>
      <c r="E75" s="3" t="inlineStr">
        <is>
          <t>STRING</t>
        </is>
      </c>
      <c r="F75" s="3" t="inlineStr">
        <is>
          <t>NULLABLE</t>
        </is>
      </c>
      <c r="G75" s="3" t="inlineStr"/>
    </row>
    <row r="76">
      <c r="A76" s="3" t="inlineStr">
        <is>
          <t>bigquery</t>
        </is>
      </c>
      <c r="B76" s="3" t="inlineStr">
        <is>
          <t>silver</t>
        </is>
      </c>
      <c r="C76" s="3" t="inlineStr">
        <is>
          <t>articles</t>
        </is>
      </c>
      <c r="D76" s="3" t="inlineStr">
        <is>
          <t>_ingested_at</t>
        </is>
      </c>
      <c r="E76" s="3" t="inlineStr">
        <is>
          <t>TIMESTAMP</t>
        </is>
      </c>
      <c r="F76" s="3" t="inlineStr">
        <is>
          <t>NULLABLE</t>
        </is>
      </c>
      <c r="G76" s="3" t="inlineStr"/>
    </row>
    <row r="77">
      <c r="A77" s="3" t="inlineStr">
        <is>
          <t>bigquery</t>
        </is>
      </c>
      <c r="B77" s="3" t="inlineStr">
        <is>
          <t>silver</t>
        </is>
      </c>
      <c r="C77" s="3" t="inlineStr">
        <is>
          <t>customers</t>
        </is>
      </c>
      <c r="D77" s="3" t="inlineStr">
        <is>
          <t>customer_id</t>
        </is>
      </c>
      <c r="E77" s="3" t="inlineStr">
        <is>
          <t>STRING</t>
        </is>
      </c>
      <c r="F77" s="3" t="inlineStr">
        <is>
          <t>NULLABLE</t>
        </is>
      </c>
      <c r="G77" s="3" t="inlineStr"/>
    </row>
    <row r="78">
      <c r="A78" s="3" t="inlineStr">
        <is>
          <t>bigquery</t>
        </is>
      </c>
      <c r="B78" s="3" t="inlineStr">
        <is>
          <t>silver</t>
        </is>
      </c>
      <c r="C78" s="3" t="inlineStr">
        <is>
          <t>customers</t>
        </is>
      </c>
      <c r="D78" s="3" t="inlineStr">
        <is>
          <t>club_member_status</t>
        </is>
      </c>
      <c r="E78" s="3" t="inlineStr">
        <is>
          <t>STRING</t>
        </is>
      </c>
      <c r="F78" s="3" t="inlineStr">
        <is>
          <t>NULLABLE</t>
        </is>
      </c>
      <c r="G78" s="3" t="inlineStr"/>
    </row>
    <row r="79">
      <c r="A79" s="3" t="inlineStr">
        <is>
          <t>bigquery</t>
        </is>
      </c>
      <c r="B79" s="3" t="inlineStr">
        <is>
          <t>silver</t>
        </is>
      </c>
      <c r="C79" s="3" t="inlineStr">
        <is>
          <t>customers</t>
        </is>
      </c>
      <c r="D79" s="3" t="inlineStr">
        <is>
          <t>fashion_news_frequency</t>
        </is>
      </c>
      <c r="E79" s="3" t="inlineStr">
        <is>
          <t>STRING</t>
        </is>
      </c>
      <c r="F79" s="3" t="inlineStr">
        <is>
          <t>NULLABLE</t>
        </is>
      </c>
      <c r="G79" s="3" t="inlineStr"/>
    </row>
    <row r="80">
      <c r="A80" s="3" t="inlineStr">
        <is>
          <t>bigquery</t>
        </is>
      </c>
      <c r="B80" s="3" t="inlineStr">
        <is>
          <t>silver</t>
        </is>
      </c>
      <c r="C80" s="3" t="inlineStr">
        <is>
          <t>customers</t>
        </is>
      </c>
      <c r="D80" s="3" t="inlineStr">
        <is>
          <t>age</t>
        </is>
      </c>
      <c r="E80" s="3" t="inlineStr">
        <is>
          <t>INT64</t>
        </is>
      </c>
      <c r="F80" s="3" t="inlineStr">
        <is>
          <t>NULLABLE</t>
        </is>
      </c>
      <c r="G80" s="3" t="inlineStr"/>
    </row>
    <row r="81">
      <c r="A81" s="3" t="inlineStr">
        <is>
          <t>bigquery</t>
        </is>
      </c>
      <c r="B81" s="3" t="inlineStr">
        <is>
          <t>silver</t>
        </is>
      </c>
      <c r="C81" s="3" t="inlineStr">
        <is>
          <t>customers</t>
        </is>
      </c>
      <c r="D81" s="3" t="inlineStr">
        <is>
          <t>postal_code</t>
        </is>
      </c>
      <c r="E81" s="3" t="inlineStr">
        <is>
          <t>STRING</t>
        </is>
      </c>
      <c r="F81" s="3" t="inlineStr">
        <is>
          <t>NULLABLE</t>
        </is>
      </c>
      <c r="G81" s="3" t="inlineStr"/>
    </row>
    <row r="82">
      <c r="A82" s="3" t="inlineStr">
        <is>
          <t>bigquery</t>
        </is>
      </c>
      <c r="B82" s="3" t="inlineStr">
        <is>
          <t>silver</t>
        </is>
      </c>
      <c r="C82" s="3" t="inlineStr">
        <is>
          <t>customers</t>
        </is>
      </c>
      <c r="D82" s="3" t="inlineStr">
        <is>
          <t>fn</t>
        </is>
      </c>
      <c r="E82" s="3" t="inlineStr">
        <is>
          <t>INT64</t>
        </is>
      </c>
      <c r="F82" s="3" t="inlineStr">
        <is>
          <t>NULLABLE</t>
        </is>
      </c>
      <c r="G82" s="3" t="inlineStr"/>
    </row>
    <row r="83">
      <c r="A83" s="3" t="inlineStr">
        <is>
          <t>bigquery</t>
        </is>
      </c>
      <c r="B83" s="3" t="inlineStr">
        <is>
          <t>silver</t>
        </is>
      </c>
      <c r="C83" s="3" t="inlineStr">
        <is>
          <t>customers</t>
        </is>
      </c>
      <c r="D83" s="3" t="inlineStr">
        <is>
          <t>active</t>
        </is>
      </c>
      <c r="E83" s="3" t="inlineStr">
        <is>
          <t>INT64</t>
        </is>
      </c>
      <c r="F83" s="3" t="inlineStr">
        <is>
          <t>NULLABLE</t>
        </is>
      </c>
      <c r="G83" s="3" t="inlineStr"/>
    </row>
    <row r="84">
      <c r="A84" s="3" t="inlineStr">
        <is>
          <t>bigquery</t>
        </is>
      </c>
      <c r="B84" s="3" t="inlineStr">
        <is>
          <t>silver</t>
        </is>
      </c>
      <c r="C84" s="3" t="inlineStr">
        <is>
          <t>customers</t>
        </is>
      </c>
      <c r="D84" s="3" t="inlineStr">
        <is>
          <t>age_band</t>
        </is>
      </c>
      <c r="E84" s="3" t="inlineStr">
        <is>
          <t>STRING</t>
        </is>
      </c>
      <c r="F84" s="3" t="inlineStr">
        <is>
          <t>NULLABLE</t>
        </is>
      </c>
      <c r="G84" s="3" t="inlineStr"/>
    </row>
    <row r="85">
      <c r="A85" s="3" t="inlineStr">
        <is>
          <t>bigquery</t>
        </is>
      </c>
      <c r="B85" s="3" t="inlineStr">
        <is>
          <t>silver</t>
        </is>
      </c>
      <c r="C85" s="3" t="inlineStr">
        <is>
          <t>customers</t>
        </is>
      </c>
      <c r="D85" s="3" t="inlineStr">
        <is>
          <t>_ingested_at</t>
        </is>
      </c>
      <c r="E85" s="3" t="inlineStr">
        <is>
          <t>TIMESTAMP</t>
        </is>
      </c>
      <c r="F85" s="3" t="inlineStr">
        <is>
          <t>NULLABLE</t>
        </is>
      </c>
      <c r="G85" s="3" t="inlineStr"/>
    </row>
    <row r="86">
      <c r="A86" s="3" t="inlineStr">
        <is>
          <t>bigquery</t>
        </is>
      </c>
      <c r="B86" s="3" t="inlineStr">
        <is>
          <t>silver</t>
        </is>
      </c>
      <c r="C86" s="3" t="inlineStr">
        <is>
          <t>transactions</t>
        </is>
      </c>
      <c r="D86" s="3" t="inlineStr">
        <is>
          <t>article_id</t>
        </is>
      </c>
      <c r="E86" s="3" t="inlineStr">
        <is>
          <t>STRING</t>
        </is>
      </c>
      <c r="F86" s="3" t="inlineStr">
        <is>
          <t>NULLABLE</t>
        </is>
      </c>
      <c r="G86" s="3" t="inlineStr"/>
    </row>
    <row r="87">
      <c r="A87" s="3" t="inlineStr">
        <is>
          <t>bigquery</t>
        </is>
      </c>
      <c r="B87" s="3" t="inlineStr">
        <is>
          <t>silver</t>
        </is>
      </c>
      <c r="C87" s="3" t="inlineStr">
        <is>
          <t>transactions</t>
        </is>
      </c>
      <c r="D87" s="3" t="inlineStr">
        <is>
          <t>t_dat</t>
        </is>
      </c>
      <c r="E87" s="3" t="inlineStr">
        <is>
          <t>DATE</t>
        </is>
      </c>
      <c r="F87" s="3" t="inlineStr">
        <is>
          <t>NULLABLE</t>
        </is>
      </c>
      <c r="G87" s="3" t="inlineStr"/>
    </row>
    <row r="88">
      <c r="A88" s="3" t="inlineStr">
        <is>
          <t>bigquery</t>
        </is>
      </c>
      <c r="B88" s="3" t="inlineStr">
        <is>
          <t>silver</t>
        </is>
      </c>
      <c r="C88" s="3" t="inlineStr">
        <is>
          <t>transactions</t>
        </is>
      </c>
      <c r="D88" s="3" t="inlineStr">
        <is>
          <t>customer_id</t>
        </is>
      </c>
      <c r="E88" s="3" t="inlineStr">
        <is>
          <t>STRING</t>
        </is>
      </c>
      <c r="F88" s="3" t="inlineStr">
        <is>
          <t>NULLABLE</t>
        </is>
      </c>
      <c r="G88" s="3" t="inlineStr"/>
    </row>
    <row r="89">
      <c r="A89" s="3" t="inlineStr">
        <is>
          <t>bigquery</t>
        </is>
      </c>
      <c r="B89" s="3" t="inlineStr">
        <is>
          <t>silver</t>
        </is>
      </c>
      <c r="C89" s="3" t="inlineStr">
        <is>
          <t>transactions</t>
        </is>
      </c>
      <c r="D89" s="3" t="inlineStr">
        <is>
          <t>price</t>
        </is>
      </c>
      <c r="E89" s="3" t="inlineStr">
        <is>
          <t>FLOAT64</t>
        </is>
      </c>
      <c r="F89" s="3" t="inlineStr">
        <is>
          <t>NULLABLE</t>
        </is>
      </c>
      <c r="G89" s="3" t="inlineStr"/>
    </row>
    <row r="90">
      <c r="A90" s="3" t="inlineStr">
        <is>
          <t>bigquery</t>
        </is>
      </c>
      <c r="B90" s="3" t="inlineStr">
        <is>
          <t>silver</t>
        </is>
      </c>
      <c r="C90" s="3" t="inlineStr">
        <is>
          <t>transactions</t>
        </is>
      </c>
      <c r="D90" s="3" t="inlineStr">
        <is>
          <t>sales_channel_id</t>
        </is>
      </c>
      <c r="E90" s="3" t="inlineStr">
        <is>
          <t>INT64</t>
        </is>
      </c>
      <c r="F90" s="3" t="inlineStr">
        <is>
          <t>NULLABLE</t>
        </is>
      </c>
      <c r="G90" s="3" t="inlineStr"/>
    </row>
    <row r="91">
      <c r="A91" s="3" t="inlineStr">
        <is>
          <t>bigquery</t>
        </is>
      </c>
      <c r="B91" s="3" t="inlineStr">
        <is>
          <t>silver</t>
        </is>
      </c>
      <c r="C91" s="3" t="inlineStr">
        <is>
          <t>transactions</t>
        </is>
      </c>
      <c r="D91" s="3" t="inlineStr">
        <is>
          <t>_source_system</t>
        </is>
      </c>
      <c r="E91" s="3" t="inlineStr">
        <is>
          <t>STRING</t>
        </is>
      </c>
      <c r="F91" s="3" t="inlineStr">
        <is>
          <t>NULLABLE</t>
        </is>
      </c>
      <c r="G91" s="3" t="inlineStr"/>
    </row>
    <row r="92">
      <c r="A92" s="3" t="inlineStr">
        <is>
          <t>bigquery</t>
        </is>
      </c>
      <c r="B92" s="3" t="inlineStr">
        <is>
          <t>silver</t>
        </is>
      </c>
      <c r="C92" s="3" t="inlineStr">
        <is>
          <t>transactions</t>
        </is>
      </c>
      <c r="D92" s="3" t="inlineStr">
        <is>
          <t>_ingested_at</t>
        </is>
      </c>
      <c r="E92" s="3" t="inlineStr">
        <is>
          <t>TIMESTAMP</t>
        </is>
      </c>
      <c r="F92" s="3" t="inlineStr">
        <is>
          <t>NULLABLE</t>
        </is>
      </c>
      <c r="G92" s="3" t="inlineStr"/>
    </row>
    <row r="93">
      <c r="A93" s="3" t="inlineStr">
        <is>
          <t>bigquery</t>
        </is>
      </c>
      <c r="B93" s="3" t="inlineStr">
        <is>
          <t>silver</t>
        </is>
      </c>
      <c r="C93" s="3" t="inlineStr">
        <is>
          <t>v_events</t>
        </is>
      </c>
      <c r="D93" s="3" t="inlineStr">
        <is>
          <t>event_id</t>
        </is>
      </c>
      <c r="E93" s="3" t="inlineStr">
        <is>
          <t>STRING</t>
        </is>
      </c>
      <c r="F93" s="3" t="inlineStr">
        <is>
          <t>NULLABLE</t>
        </is>
      </c>
      <c r="G93" s="3" t="inlineStr"/>
    </row>
    <row r="94">
      <c r="A94" s="3" t="inlineStr">
        <is>
          <t>bigquery</t>
        </is>
      </c>
      <c r="B94" s="3" t="inlineStr">
        <is>
          <t>silver</t>
        </is>
      </c>
      <c r="C94" s="3" t="inlineStr">
        <is>
          <t>v_events</t>
        </is>
      </c>
      <c r="D94" s="3" t="inlineStr">
        <is>
          <t>event_type</t>
        </is>
      </c>
      <c r="E94" s="3" t="inlineStr">
        <is>
          <t>STRING</t>
        </is>
      </c>
      <c r="F94" s="3" t="inlineStr">
        <is>
          <t>NULLABLE</t>
        </is>
      </c>
      <c r="G94" s="3" t="inlineStr"/>
    </row>
    <row r="95">
      <c r="A95" s="3" t="inlineStr">
        <is>
          <t>bigquery</t>
        </is>
      </c>
      <c r="B95" s="3" t="inlineStr">
        <is>
          <t>silver</t>
        </is>
      </c>
      <c r="C95" s="3" t="inlineStr">
        <is>
          <t>v_events</t>
        </is>
      </c>
      <c r="D95" s="3" t="inlineStr">
        <is>
          <t>event_time</t>
        </is>
      </c>
      <c r="E95" s="3" t="inlineStr">
        <is>
          <t>TIMESTAMP</t>
        </is>
      </c>
      <c r="F95" s="3" t="inlineStr">
        <is>
          <t>NULLABLE</t>
        </is>
      </c>
      <c r="G95" s="3" t="inlineStr"/>
    </row>
    <row r="96">
      <c r="A96" s="3" t="inlineStr">
        <is>
          <t>bigquery</t>
        </is>
      </c>
      <c r="B96" s="3" t="inlineStr">
        <is>
          <t>silver</t>
        </is>
      </c>
      <c r="C96" s="3" t="inlineStr">
        <is>
          <t>v_events</t>
        </is>
      </c>
      <c r="D96" s="3" t="inlineStr">
        <is>
          <t>source_t_dat</t>
        </is>
      </c>
      <c r="E96" s="3" t="inlineStr">
        <is>
          <t>DATE</t>
        </is>
      </c>
      <c r="F96" s="3" t="inlineStr">
        <is>
          <t>NULLABLE</t>
        </is>
      </c>
      <c r="G96" s="3" t="inlineStr"/>
    </row>
    <row r="97">
      <c r="A97" s="3" t="inlineStr">
        <is>
          <t>bigquery</t>
        </is>
      </c>
      <c r="B97" s="3" t="inlineStr">
        <is>
          <t>silver</t>
        </is>
      </c>
      <c r="C97" s="3" t="inlineStr">
        <is>
          <t>v_events</t>
        </is>
      </c>
      <c r="D97" s="3" t="inlineStr">
        <is>
          <t>customer_id</t>
        </is>
      </c>
      <c r="E97" s="3" t="inlineStr">
        <is>
          <t>STRING</t>
        </is>
      </c>
      <c r="F97" s="3" t="inlineStr">
        <is>
          <t>NULLABLE</t>
        </is>
      </c>
      <c r="G97" s="3" t="inlineStr"/>
    </row>
    <row r="98">
      <c r="A98" s="3" t="inlineStr">
        <is>
          <t>bigquery</t>
        </is>
      </c>
      <c r="B98" s="3" t="inlineStr">
        <is>
          <t>silver</t>
        </is>
      </c>
      <c r="C98" s="3" t="inlineStr">
        <is>
          <t>v_events</t>
        </is>
      </c>
      <c r="D98" s="3" t="inlineStr">
        <is>
          <t>article_id</t>
        </is>
      </c>
      <c r="E98" s="3" t="inlineStr">
        <is>
          <t>STRING</t>
        </is>
      </c>
      <c r="F98" s="3" t="inlineStr">
        <is>
          <t>NULLABLE</t>
        </is>
      </c>
      <c r="G98" s="3" t="inlineStr"/>
    </row>
    <row r="99">
      <c r="A99" s="3" t="inlineStr">
        <is>
          <t>bigquery</t>
        </is>
      </c>
      <c r="B99" s="3" t="inlineStr">
        <is>
          <t>silver</t>
        </is>
      </c>
      <c r="C99" s="3" t="inlineStr">
        <is>
          <t>v_events</t>
        </is>
      </c>
      <c r="D99" s="3" t="inlineStr">
        <is>
          <t>price</t>
        </is>
      </c>
      <c r="E99" s="3" t="inlineStr">
        <is>
          <t>FLOAT64</t>
        </is>
      </c>
      <c r="F99" s="3" t="inlineStr">
        <is>
          <t>NULLABLE</t>
        </is>
      </c>
      <c r="G99" s="3" t="inlineStr"/>
    </row>
    <row r="100">
      <c r="A100" s="3" t="inlineStr">
        <is>
          <t>bigquery</t>
        </is>
      </c>
      <c r="B100" s="3" t="inlineStr">
        <is>
          <t>silver</t>
        </is>
      </c>
      <c r="C100" s="3" t="inlineStr">
        <is>
          <t>v_events</t>
        </is>
      </c>
      <c r="D100" s="3" t="inlineStr">
        <is>
          <t>qty</t>
        </is>
      </c>
      <c r="E100" s="3" t="inlineStr">
        <is>
          <t>INT64</t>
        </is>
      </c>
      <c r="F100" s="3" t="inlineStr">
        <is>
          <t>NULLABLE</t>
        </is>
      </c>
      <c r="G100" s="3" t="inlineStr"/>
    </row>
    <row r="101">
      <c r="A101" s="3" t="inlineStr">
        <is>
          <t>bigquery</t>
        </is>
      </c>
      <c r="B101" s="3" t="inlineStr">
        <is>
          <t>silver</t>
        </is>
      </c>
      <c r="C101" s="3" t="inlineStr">
        <is>
          <t>v_events</t>
        </is>
      </c>
      <c r="D101" s="3" t="inlineStr">
        <is>
          <t>sales_channel_id</t>
        </is>
      </c>
      <c r="E101" s="3" t="inlineStr">
        <is>
          <t>INT64</t>
        </is>
      </c>
      <c r="F101" s="3" t="inlineStr">
        <is>
          <t>NULLABLE</t>
        </is>
      </c>
      <c r="G101" s="3" t="inlineStr"/>
    </row>
    <row r="102">
      <c r="A102" s="3" t="inlineStr">
        <is>
          <t>bigquery</t>
        </is>
      </c>
      <c r="B102" s="3" t="inlineStr">
        <is>
          <t>silver</t>
        </is>
      </c>
      <c r="C102" s="3" t="inlineStr">
        <is>
          <t>v_events</t>
        </is>
      </c>
      <c r="D102" s="3" t="inlineStr">
        <is>
          <t>order_id</t>
        </is>
      </c>
      <c r="E102" s="3" t="inlineStr">
        <is>
          <t>STRING</t>
        </is>
      </c>
      <c r="F102" s="3" t="inlineStr">
        <is>
          <t>NULLABLE</t>
        </is>
      </c>
      <c r="G102" s="3" t="inlineStr"/>
    </row>
    <row r="103">
      <c r="A103" s="3" t="inlineStr">
        <is>
          <t>bigquery</t>
        </is>
      </c>
      <c r="B103" s="3" t="inlineStr">
        <is>
          <t>silver</t>
        </is>
      </c>
      <c r="C103" s="3" t="inlineStr">
        <is>
          <t>v_events</t>
        </is>
      </c>
      <c r="D103" s="3" t="inlineStr">
        <is>
          <t>source_system</t>
        </is>
      </c>
      <c r="E103" s="3" t="inlineStr">
        <is>
          <t>STRING</t>
        </is>
      </c>
      <c r="F103" s="3" t="inlineStr">
        <is>
          <t>NULLABLE</t>
        </is>
      </c>
      <c r="G103" s="3" t="inlineStr"/>
    </row>
    <row r="104">
      <c r="A104" s="3" t="inlineStr">
        <is>
          <t>bigquery</t>
        </is>
      </c>
      <c r="B104" s="3" t="inlineStr">
        <is>
          <t>silver</t>
        </is>
      </c>
      <c r="C104" s="3" t="inlineStr">
        <is>
          <t>v_events</t>
        </is>
      </c>
      <c r="D104" s="3" t="inlineStr">
        <is>
          <t>is_synthetic</t>
        </is>
      </c>
      <c r="E104" s="3" t="inlineStr">
        <is>
          <t>BOOL</t>
        </is>
      </c>
      <c r="F104" s="3" t="inlineStr">
        <is>
          <t>NULLABLE</t>
        </is>
      </c>
      <c r="G104" s="3" t="inlineStr"/>
    </row>
    <row r="105">
      <c r="A105" s="3" t="inlineStr">
        <is>
          <t>bigquery</t>
        </is>
      </c>
      <c r="B105" s="3" t="inlineStr">
        <is>
          <t>silver</t>
        </is>
      </c>
      <c r="C105" s="3" t="inlineStr">
        <is>
          <t>v_events</t>
        </is>
      </c>
      <c r="D105" s="3" t="inlineStr">
        <is>
          <t>simulation_run_id</t>
        </is>
      </c>
      <c r="E105" s="3" t="inlineStr">
        <is>
          <t>STRING</t>
        </is>
      </c>
      <c r="F105" s="3" t="inlineStr">
        <is>
          <t>NULLABLE</t>
        </is>
      </c>
      <c r="G105" s="3" t="inlineStr"/>
    </row>
    <row r="106">
      <c r="A106" s="3" t="inlineStr">
        <is>
          <t>bigquery</t>
        </is>
      </c>
      <c r="B106" s="3" t="inlineStr">
        <is>
          <t>silver</t>
        </is>
      </c>
      <c r="C106" s="3" t="inlineStr">
        <is>
          <t>v_events</t>
        </is>
      </c>
      <c r="D106" s="3" t="inlineStr">
        <is>
          <t>publish_time</t>
        </is>
      </c>
      <c r="E106" s="3" t="inlineStr">
        <is>
          <t>TIMESTAMP</t>
        </is>
      </c>
      <c r="F106" s="3" t="inlineStr">
        <is>
          <t>NULLABLE</t>
        </is>
      </c>
      <c r="G106" s="3" t="inlineStr"/>
    </row>
    <row r="107">
      <c r="A107" s="3" t="inlineStr">
        <is>
          <t>bigquery</t>
        </is>
      </c>
      <c r="B107" s="3" t="inlineStr">
        <is>
          <t>gold</t>
        </is>
      </c>
      <c r="C107" s="3" t="inlineStr">
        <is>
          <t>dim_date</t>
        </is>
      </c>
      <c r="D107" s="3" t="inlineStr">
        <is>
          <t>date_key</t>
        </is>
      </c>
      <c r="E107" s="3" t="inlineStr">
        <is>
          <t>DATE</t>
        </is>
      </c>
      <c r="F107" s="3" t="inlineStr">
        <is>
          <t>NULLABLE</t>
        </is>
      </c>
      <c r="G107" s="3" t="inlineStr"/>
    </row>
    <row r="108">
      <c r="A108" s="3" t="inlineStr">
        <is>
          <t>bigquery</t>
        </is>
      </c>
      <c r="B108" s="3" t="inlineStr">
        <is>
          <t>gold</t>
        </is>
      </c>
      <c r="C108" s="3" t="inlineStr">
        <is>
          <t>dim_date</t>
        </is>
      </c>
      <c r="D108" s="3" t="inlineStr">
        <is>
          <t>anio</t>
        </is>
      </c>
      <c r="E108" s="3" t="inlineStr">
        <is>
          <t>INT64</t>
        </is>
      </c>
      <c r="F108" s="3" t="inlineStr">
        <is>
          <t>NULLABLE</t>
        </is>
      </c>
      <c r="G108" s="3" t="inlineStr"/>
    </row>
    <row r="109">
      <c r="A109" s="3" t="inlineStr">
        <is>
          <t>bigquery</t>
        </is>
      </c>
      <c r="B109" s="3" t="inlineStr">
        <is>
          <t>gold</t>
        </is>
      </c>
      <c r="C109" s="3" t="inlineStr">
        <is>
          <t>dim_date</t>
        </is>
      </c>
      <c r="D109" s="3" t="inlineStr">
        <is>
          <t>mes</t>
        </is>
      </c>
      <c r="E109" s="3" t="inlineStr">
        <is>
          <t>INT64</t>
        </is>
      </c>
      <c r="F109" s="3" t="inlineStr">
        <is>
          <t>NULLABLE</t>
        </is>
      </c>
      <c r="G109" s="3" t="inlineStr"/>
    </row>
    <row r="110">
      <c r="A110" s="3" t="inlineStr">
        <is>
          <t>bigquery</t>
        </is>
      </c>
      <c r="B110" s="3" t="inlineStr">
        <is>
          <t>gold</t>
        </is>
      </c>
      <c r="C110" s="3" t="inlineStr">
        <is>
          <t>dim_date</t>
        </is>
      </c>
      <c r="D110" s="3" t="inlineStr">
        <is>
          <t>anio_mes</t>
        </is>
      </c>
      <c r="E110" s="3" t="inlineStr">
        <is>
          <t>STRING</t>
        </is>
      </c>
      <c r="F110" s="3" t="inlineStr">
        <is>
          <t>NULLABLE</t>
        </is>
      </c>
      <c r="G110" s="3" t="inlineStr"/>
    </row>
    <row r="111">
      <c r="A111" s="3" t="inlineStr">
        <is>
          <t>bigquery</t>
        </is>
      </c>
      <c r="B111" s="3" t="inlineStr">
        <is>
          <t>gold</t>
        </is>
      </c>
      <c r="C111" s="3" t="inlineStr">
        <is>
          <t>dim_date</t>
        </is>
      </c>
      <c r="D111" s="3" t="inlineStr">
        <is>
          <t>semana_iso</t>
        </is>
      </c>
      <c r="E111" s="3" t="inlineStr">
        <is>
          <t>INT64</t>
        </is>
      </c>
      <c r="F111" s="3" t="inlineStr">
        <is>
          <t>NULLABLE</t>
        </is>
      </c>
      <c r="G111" s="3" t="inlineStr"/>
    </row>
    <row r="112">
      <c r="A112" s="3" t="inlineStr">
        <is>
          <t>bigquery</t>
        </is>
      </c>
      <c r="B112" s="3" t="inlineStr">
        <is>
          <t>gold</t>
        </is>
      </c>
      <c r="C112" s="3" t="inlineStr">
        <is>
          <t>dim_date</t>
        </is>
      </c>
      <c r="D112" s="3" t="inlineStr">
        <is>
          <t>dia_semana</t>
        </is>
      </c>
      <c r="E112" s="3" t="inlineStr">
        <is>
          <t>STRING</t>
        </is>
      </c>
      <c r="F112" s="3" t="inlineStr">
        <is>
          <t>NULLABLE</t>
        </is>
      </c>
      <c r="G112" s="3" t="inlineStr"/>
    </row>
    <row r="113">
      <c r="A113" s="3" t="inlineStr">
        <is>
          <t>bigquery</t>
        </is>
      </c>
      <c r="B113" s="3" t="inlineStr">
        <is>
          <t>gold</t>
        </is>
      </c>
      <c r="C113" s="3" t="inlineStr">
        <is>
          <t>dim_date</t>
        </is>
      </c>
      <c r="D113" s="3" t="inlineStr">
        <is>
          <t>fin_de_semana</t>
        </is>
      </c>
      <c r="E113" s="3" t="inlineStr">
        <is>
          <t>BOOL</t>
        </is>
      </c>
      <c r="F113" s="3" t="inlineStr">
        <is>
          <t>NULLABLE</t>
        </is>
      </c>
      <c r="G113" s="3" t="inlineStr"/>
    </row>
    <row r="114">
      <c r="A114" s="3" t="inlineStr">
        <is>
          <t>bigquery</t>
        </is>
      </c>
      <c r="B114" s="3" t="inlineStr">
        <is>
          <t>gold</t>
        </is>
      </c>
      <c r="C114" s="3" t="inlineStr">
        <is>
          <t>dim_channel</t>
        </is>
      </c>
      <c r="D114" s="3" t="inlineStr">
        <is>
          <t>sales_channel_id</t>
        </is>
      </c>
      <c r="E114" s="3" t="inlineStr">
        <is>
          <t>INT64</t>
        </is>
      </c>
      <c r="F114" s="3" t="inlineStr">
        <is>
          <t>NULLABLE</t>
        </is>
      </c>
      <c r="G114" s="3" t="inlineStr"/>
    </row>
    <row r="115">
      <c r="A115" s="3" t="inlineStr">
        <is>
          <t>bigquery</t>
        </is>
      </c>
      <c r="B115" s="3" t="inlineStr">
        <is>
          <t>gold</t>
        </is>
      </c>
      <c r="C115" s="3" t="inlineStr">
        <is>
          <t>dim_channel</t>
        </is>
      </c>
      <c r="D115" s="3" t="inlineStr">
        <is>
          <t>canal</t>
        </is>
      </c>
      <c r="E115" s="3" t="inlineStr">
        <is>
          <t>STRING</t>
        </is>
      </c>
      <c r="F115" s="3" t="inlineStr">
        <is>
          <t>NULLABLE</t>
        </is>
      </c>
      <c r="G115" s="3" t="inlineStr"/>
    </row>
    <row r="116">
      <c r="A116" s="3" t="inlineStr">
        <is>
          <t>bigquery</t>
        </is>
      </c>
      <c r="B116" s="3" t="inlineStr">
        <is>
          <t>gold</t>
        </is>
      </c>
      <c r="C116" s="3" t="inlineStr">
        <is>
          <t>dim_channel</t>
        </is>
      </c>
      <c r="D116" s="3" t="inlineStr">
        <is>
          <t>nota</t>
        </is>
      </c>
      <c r="E116" s="3" t="inlineStr">
        <is>
          <t>STRING</t>
        </is>
      </c>
      <c r="F116" s="3" t="inlineStr">
        <is>
          <t>NULLABLE</t>
        </is>
      </c>
      <c r="G116" s="3" t="inlineStr"/>
    </row>
    <row r="117">
      <c r="A117" s="3" t="inlineStr">
        <is>
          <t>bigquery</t>
        </is>
      </c>
      <c r="B117" s="3" t="inlineStr">
        <is>
          <t>gold</t>
        </is>
      </c>
      <c r="C117" s="3" t="inlineStr">
        <is>
          <t>dim_article</t>
        </is>
      </c>
      <c r="D117" s="3" t="inlineStr">
        <is>
          <t>article_id</t>
        </is>
      </c>
      <c r="E117" s="3" t="inlineStr">
        <is>
          <t>STRING</t>
        </is>
      </c>
      <c r="F117" s="3" t="inlineStr">
        <is>
          <t>NULLABLE</t>
        </is>
      </c>
      <c r="G117" s="3" t="inlineStr"/>
    </row>
    <row r="118">
      <c r="A118" s="3" t="inlineStr">
        <is>
          <t>bigquery</t>
        </is>
      </c>
      <c r="B118" s="3" t="inlineStr">
        <is>
          <t>gold</t>
        </is>
      </c>
      <c r="C118" s="3" t="inlineStr">
        <is>
          <t>dim_article</t>
        </is>
      </c>
      <c r="D118" s="3" t="inlineStr">
        <is>
          <t>product_code</t>
        </is>
      </c>
      <c r="E118" s="3" t="inlineStr">
        <is>
          <t>STRING</t>
        </is>
      </c>
      <c r="F118" s="3" t="inlineStr">
        <is>
          <t>NULLABLE</t>
        </is>
      </c>
      <c r="G118" s="3" t="inlineStr"/>
    </row>
    <row r="119">
      <c r="A119" s="3" t="inlineStr">
        <is>
          <t>bigquery</t>
        </is>
      </c>
      <c r="B119" s="3" t="inlineStr">
        <is>
          <t>gold</t>
        </is>
      </c>
      <c r="C119" s="3" t="inlineStr">
        <is>
          <t>dim_article</t>
        </is>
      </c>
      <c r="D119" s="3" t="inlineStr">
        <is>
          <t>prod_name</t>
        </is>
      </c>
      <c r="E119" s="3" t="inlineStr">
        <is>
          <t>STRING</t>
        </is>
      </c>
      <c r="F119" s="3" t="inlineStr">
        <is>
          <t>NULLABLE</t>
        </is>
      </c>
      <c r="G119" s="3" t="inlineStr"/>
    </row>
    <row r="120">
      <c r="A120" s="3" t="inlineStr">
        <is>
          <t>bigquery</t>
        </is>
      </c>
      <c r="B120" s="3" t="inlineStr">
        <is>
          <t>gold</t>
        </is>
      </c>
      <c r="C120" s="3" t="inlineStr">
        <is>
          <t>dim_article</t>
        </is>
      </c>
      <c r="D120" s="3" t="inlineStr">
        <is>
          <t>product_type_name</t>
        </is>
      </c>
      <c r="E120" s="3" t="inlineStr">
        <is>
          <t>STRING</t>
        </is>
      </c>
      <c r="F120" s="3" t="inlineStr">
        <is>
          <t>NULLABLE</t>
        </is>
      </c>
      <c r="G120" s="3" t="inlineStr"/>
    </row>
    <row r="121">
      <c r="A121" s="3" t="inlineStr">
        <is>
          <t>bigquery</t>
        </is>
      </c>
      <c r="B121" s="3" t="inlineStr">
        <is>
          <t>gold</t>
        </is>
      </c>
      <c r="C121" s="3" t="inlineStr">
        <is>
          <t>dim_article</t>
        </is>
      </c>
      <c r="D121" s="3" t="inlineStr">
        <is>
          <t>product_group_name</t>
        </is>
      </c>
      <c r="E121" s="3" t="inlineStr">
        <is>
          <t>STRING</t>
        </is>
      </c>
      <c r="F121" s="3" t="inlineStr">
        <is>
          <t>NULLABLE</t>
        </is>
      </c>
      <c r="G121" s="3" t="inlineStr"/>
    </row>
    <row r="122">
      <c r="A122" s="3" t="inlineStr">
        <is>
          <t>bigquery</t>
        </is>
      </c>
      <c r="B122" s="3" t="inlineStr">
        <is>
          <t>gold</t>
        </is>
      </c>
      <c r="C122" s="3" t="inlineStr">
        <is>
          <t>dim_article</t>
        </is>
      </c>
      <c r="D122" s="3" t="inlineStr">
        <is>
          <t>colour_group_name</t>
        </is>
      </c>
      <c r="E122" s="3" t="inlineStr">
        <is>
          <t>STRING</t>
        </is>
      </c>
      <c r="F122" s="3" t="inlineStr">
        <is>
          <t>NULLABLE</t>
        </is>
      </c>
      <c r="G122" s="3" t="inlineStr"/>
    </row>
    <row r="123">
      <c r="A123" s="3" t="inlineStr">
        <is>
          <t>bigquery</t>
        </is>
      </c>
      <c r="B123" s="3" t="inlineStr">
        <is>
          <t>gold</t>
        </is>
      </c>
      <c r="C123" s="3" t="inlineStr">
        <is>
          <t>dim_article</t>
        </is>
      </c>
      <c r="D123" s="3" t="inlineStr">
        <is>
          <t>perceived_colour_master_name</t>
        </is>
      </c>
      <c r="E123" s="3" t="inlineStr">
        <is>
          <t>STRING</t>
        </is>
      </c>
      <c r="F123" s="3" t="inlineStr">
        <is>
          <t>NULLABLE</t>
        </is>
      </c>
      <c r="G123" s="3" t="inlineStr"/>
    </row>
    <row r="124">
      <c r="A124" s="3" t="inlineStr">
        <is>
          <t>bigquery</t>
        </is>
      </c>
      <c r="B124" s="3" t="inlineStr">
        <is>
          <t>gold</t>
        </is>
      </c>
      <c r="C124" s="3" t="inlineStr">
        <is>
          <t>dim_article</t>
        </is>
      </c>
      <c r="D124" s="3" t="inlineStr">
        <is>
          <t>department_name</t>
        </is>
      </c>
      <c r="E124" s="3" t="inlineStr">
        <is>
          <t>STRING</t>
        </is>
      </c>
      <c r="F124" s="3" t="inlineStr">
        <is>
          <t>NULLABLE</t>
        </is>
      </c>
      <c r="G124" s="3" t="inlineStr"/>
    </row>
    <row r="125">
      <c r="A125" s="3" t="inlineStr">
        <is>
          <t>bigquery</t>
        </is>
      </c>
      <c r="B125" s="3" t="inlineStr">
        <is>
          <t>gold</t>
        </is>
      </c>
      <c r="C125" s="3" t="inlineStr">
        <is>
          <t>dim_article</t>
        </is>
      </c>
      <c r="D125" s="3" t="inlineStr">
        <is>
          <t>index_name</t>
        </is>
      </c>
      <c r="E125" s="3" t="inlineStr">
        <is>
          <t>STRING</t>
        </is>
      </c>
      <c r="F125" s="3" t="inlineStr">
        <is>
          <t>NULLABLE</t>
        </is>
      </c>
      <c r="G125" s="3" t="inlineStr"/>
    </row>
    <row r="126">
      <c r="A126" s="3" t="inlineStr">
        <is>
          <t>bigquery</t>
        </is>
      </c>
      <c r="B126" s="3" t="inlineStr">
        <is>
          <t>gold</t>
        </is>
      </c>
      <c r="C126" s="3" t="inlineStr">
        <is>
          <t>dim_article</t>
        </is>
      </c>
      <c r="D126" s="3" t="inlineStr">
        <is>
          <t>index_group_name</t>
        </is>
      </c>
      <c r="E126" s="3" t="inlineStr">
        <is>
          <t>STRING</t>
        </is>
      </c>
      <c r="F126" s="3" t="inlineStr">
        <is>
          <t>NULLABLE</t>
        </is>
      </c>
      <c r="G126" s="3" t="inlineStr"/>
    </row>
    <row r="127">
      <c r="A127" s="3" t="inlineStr">
        <is>
          <t>bigquery</t>
        </is>
      </c>
      <c r="B127" s="3" t="inlineStr">
        <is>
          <t>gold</t>
        </is>
      </c>
      <c r="C127" s="3" t="inlineStr">
        <is>
          <t>dim_article</t>
        </is>
      </c>
      <c r="D127" s="3" t="inlineStr">
        <is>
          <t>section_name</t>
        </is>
      </c>
      <c r="E127" s="3" t="inlineStr">
        <is>
          <t>STRING</t>
        </is>
      </c>
      <c r="F127" s="3" t="inlineStr">
        <is>
          <t>NULLABLE</t>
        </is>
      </c>
      <c r="G127" s="3" t="inlineStr"/>
    </row>
    <row r="128">
      <c r="A128" s="3" t="inlineStr">
        <is>
          <t>bigquery</t>
        </is>
      </c>
      <c r="B128" s="3" t="inlineStr">
        <is>
          <t>gold</t>
        </is>
      </c>
      <c r="C128" s="3" t="inlineStr">
        <is>
          <t>dim_article</t>
        </is>
      </c>
      <c r="D128" s="3" t="inlineStr">
        <is>
          <t>garment_group_name</t>
        </is>
      </c>
      <c r="E128" s="3" t="inlineStr">
        <is>
          <t>STRING</t>
        </is>
      </c>
      <c r="F128" s="3" t="inlineStr">
        <is>
          <t>NULLABLE</t>
        </is>
      </c>
      <c r="G128" s="3" t="inlineStr"/>
    </row>
    <row r="129">
      <c r="A129" s="3" t="inlineStr">
        <is>
          <t>bigquery</t>
        </is>
      </c>
      <c r="B129" s="3" t="inlineStr">
        <is>
          <t>gold</t>
        </is>
      </c>
      <c r="C129" s="3" t="inlineStr">
        <is>
          <t>dim_article</t>
        </is>
      </c>
      <c r="D129" s="3" t="inlineStr">
        <is>
          <t>detail_desc</t>
        </is>
      </c>
      <c r="E129" s="3" t="inlineStr">
        <is>
          <t>STRING</t>
        </is>
      </c>
      <c r="F129" s="3" t="inlineStr">
        <is>
          <t>NULLABLE</t>
        </is>
      </c>
      <c r="G129" s="3" t="inlineStr"/>
    </row>
    <row r="130">
      <c r="A130" s="3" t="inlineStr">
        <is>
          <t>bigquery</t>
        </is>
      </c>
      <c r="B130" s="3" t="inlineStr">
        <is>
          <t>gold</t>
        </is>
      </c>
      <c r="C130" s="3" t="inlineStr">
        <is>
          <t>dim_customer</t>
        </is>
      </c>
      <c r="D130" s="3" t="inlineStr">
        <is>
          <t>customer_id</t>
        </is>
      </c>
      <c r="E130" s="3" t="inlineStr">
        <is>
          <t>STRING</t>
        </is>
      </c>
      <c r="F130" s="3" t="inlineStr">
        <is>
          <t>NULLABLE</t>
        </is>
      </c>
      <c r="G130" s="3" t="inlineStr"/>
    </row>
    <row r="131">
      <c r="A131" s="3" t="inlineStr">
        <is>
          <t>bigquery</t>
        </is>
      </c>
      <c r="B131" s="3" t="inlineStr">
        <is>
          <t>gold</t>
        </is>
      </c>
      <c r="C131" s="3" t="inlineStr">
        <is>
          <t>dim_customer</t>
        </is>
      </c>
      <c r="D131" s="3" t="inlineStr">
        <is>
          <t>age</t>
        </is>
      </c>
      <c r="E131" s="3" t="inlineStr">
        <is>
          <t>INT64</t>
        </is>
      </c>
      <c r="F131" s="3" t="inlineStr">
        <is>
          <t>NULLABLE</t>
        </is>
      </c>
      <c r="G131" s="3" t="inlineStr"/>
    </row>
    <row r="132">
      <c r="A132" s="3" t="inlineStr">
        <is>
          <t>bigquery</t>
        </is>
      </c>
      <c r="B132" s="3" t="inlineStr">
        <is>
          <t>gold</t>
        </is>
      </c>
      <c r="C132" s="3" t="inlineStr">
        <is>
          <t>dim_customer</t>
        </is>
      </c>
      <c r="D132" s="3" t="inlineStr">
        <is>
          <t>age_band</t>
        </is>
      </c>
      <c r="E132" s="3" t="inlineStr">
        <is>
          <t>STRING</t>
        </is>
      </c>
      <c r="F132" s="3" t="inlineStr">
        <is>
          <t>NULLABLE</t>
        </is>
      </c>
      <c r="G132" s="3" t="inlineStr"/>
    </row>
    <row r="133">
      <c r="A133" s="3" t="inlineStr">
        <is>
          <t>bigquery</t>
        </is>
      </c>
      <c r="B133" s="3" t="inlineStr">
        <is>
          <t>gold</t>
        </is>
      </c>
      <c r="C133" s="3" t="inlineStr">
        <is>
          <t>dim_customer</t>
        </is>
      </c>
      <c r="D133" s="3" t="inlineStr">
        <is>
          <t>club_member_status</t>
        </is>
      </c>
      <c r="E133" s="3" t="inlineStr">
        <is>
          <t>STRING</t>
        </is>
      </c>
      <c r="F133" s="3" t="inlineStr">
        <is>
          <t>NULLABLE</t>
        </is>
      </c>
      <c r="G133" s="3" t="inlineStr"/>
    </row>
    <row r="134">
      <c r="A134" s="3" t="inlineStr">
        <is>
          <t>bigquery</t>
        </is>
      </c>
      <c r="B134" s="3" t="inlineStr">
        <is>
          <t>gold</t>
        </is>
      </c>
      <c r="C134" s="3" t="inlineStr">
        <is>
          <t>dim_customer</t>
        </is>
      </c>
      <c r="D134" s="3" t="inlineStr">
        <is>
          <t>fashion_news_frequency</t>
        </is>
      </c>
      <c r="E134" s="3" t="inlineStr">
        <is>
          <t>STRING</t>
        </is>
      </c>
      <c r="F134" s="3" t="inlineStr">
        <is>
          <t>NULLABLE</t>
        </is>
      </c>
      <c r="G134" s="3" t="inlineStr"/>
    </row>
    <row r="135">
      <c r="A135" s="3" t="inlineStr">
        <is>
          <t>bigquery</t>
        </is>
      </c>
      <c r="B135" s="3" t="inlineStr">
        <is>
          <t>gold</t>
        </is>
      </c>
      <c r="C135" s="3" t="inlineStr">
        <is>
          <t>dim_customer</t>
        </is>
      </c>
      <c r="D135" s="3" t="inlineStr">
        <is>
          <t>fn</t>
        </is>
      </c>
      <c r="E135" s="3" t="inlineStr">
        <is>
          <t>INT64</t>
        </is>
      </c>
      <c r="F135" s="3" t="inlineStr">
        <is>
          <t>NULLABLE</t>
        </is>
      </c>
      <c r="G135" s="3" t="inlineStr"/>
    </row>
    <row r="136">
      <c r="A136" s="3" t="inlineStr">
        <is>
          <t>bigquery</t>
        </is>
      </c>
      <c r="B136" s="3" t="inlineStr">
        <is>
          <t>gold</t>
        </is>
      </c>
      <c r="C136" s="3" t="inlineStr">
        <is>
          <t>dim_customer</t>
        </is>
      </c>
      <c r="D136" s="3" t="inlineStr">
        <is>
          <t>active</t>
        </is>
      </c>
      <c r="E136" s="3" t="inlineStr">
        <is>
          <t>INT64</t>
        </is>
      </c>
      <c r="F136" s="3" t="inlineStr">
        <is>
          <t>NULLABLE</t>
        </is>
      </c>
      <c r="G136" s="3" t="inlineStr"/>
    </row>
    <row r="137">
      <c r="A137" s="3" t="inlineStr">
        <is>
          <t>bigquery</t>
        </is>
      </c>
      <c r="B137" s="3" t="inlineStr">
        <is>
          <t>gold</t>
        </is>
      </c>
      <c r="C137" s="3" t="inlineStr">
        <is>
          <t>fact_sales</t>
        </is>
      </c>
      <c r="D137" s="3" t="inlineStr">
        <is>
          <t>sale_date</t>
        </is>
      </c>
      <c r="E137" s="3" t="inlineStr">
        <is>
          <t>DATE</t>
        </is>
      </c>
      <c r="F137" s="3" t="inlineStr">
        <is>
          <t>NULLABLE</t>
        </is>
      </c>
      <c r="G137" s="3" t="inlineStr"/>
    </row>
    <row r="138">
      <c r="A138" s="3" t="inlineStr">
        <is>
          <t>bigquery</t>
        </is>
      </c>
      <c r="B138" s="3" t="inlineStr">
        <is>
          <t>gold</t>
        </is>
      </c>
      <c r="C138" s="3" t="inlineStr">
        <is>
          <t>fact_sales</t>
        </is>
      </c>
      <c r="D138" s="3" t="inlineStr">
        <is>
          <t>customer_id</t>
        </is>
      </c>
      <c r="E138" s="3" t="inlineStr">
        <is>
          <t>STRING</t>
        </is>
      </c>
      <c r="F138" s="3" t="inlineStr">
        <is>
          <t>NULLABLE</t>
        </is>
      </c>
      <c r="G138" s="3" t="inlineStr"/>
    </row>
    <row r="139">
      <c r="A139" s="3" t="inlineStr">
        <is>
          <t>bigquery</t>
        </is>
      </c>
      <c r="B139" s="3" t="inlineStr">
        <is>
          <t>gold</t>
        </is>
      </c>
      <c r="C139" s="3" t="inlineStr">
        <is>
          <t>fact_sales</t>
        </is>
      </c>
      <c r="D139" s="3" t="inlineStr">
        <is>
          <t>article_id</t>
        </is>
      </c>
      <c r="E139" s="3" t="inlineStr">
        <is>
          <t>STRING</t>
        </is>
      </c>
      <c r="F139" s="3" t="inlineStr">
        <is>
          <t>NULLABLE</t>
        </is>
      </c>
      <c r="G139" s="3" t="inlineStr"/>
    </row>
    <row r="140">
      <c r="A140" s="3" t="inlineStr">
        <is>
          <t>bigquery</t>
        </is>
      </c>
      <c r="B140" s="3" t="inlineStr">
        <is>
          <t>gold</t>
        </is>
      </c>
      <c r="C140" s="3" t="inlineStr">
        <is>
          <t>fact_sales</t>
        </is>
      </c>
      <c r="D140" s="3" t="inlineStr">
        <is>
          <t>sales_channel_id</t>
        </is>
      </c>
      <c r="E140" s="3" t="inlineStr">
        <is>
          <t>INT64</t>
        </is>
      </c>
      <c r="F140" s="3" t="inlineStr">
        <is>
          <t>NULLABLE</t>
        </is>
      </c>
      <c r="G140" s="3" t="inlineStr"/>
    </row>
    <row r="141">
      <c r="A141" s="3" t="inlineStr">
        <is>
          <t>bigquery</t>
        </is>
      </c>
      <c r="B141" s="3" t="inlineStr">
        <is>
          <t>gold</t>
        </is>
      </c>
      <c r="C141" s="3" t="inlineStr">
        <is>
          <t>fact_sales</t>
        </is>
      </c>
      <c r="D141" s="3" t="inlineStr">
        <is>
          <t>qty</t>
        </is>
      </c>
      <c r="E141" s="3" t="inlineStr">
        <is>
          <t>INT64</t>
        </is>
      </c>
      <c r="F141" s="3" t="inlineStr">
        <is>
          <t>NULLABLE</t>
        </is>
      </c>
      <c r="G141" s="3" t="inlineStr"/>
    </row>
    <row r="142">
      <c r="A142" s="3" t="inlineStr">
        <is>
          <t>bigquery</t>
        </is>
      </c>
      <c r="B142" s="3" t="inlineStr">
        <is>
          <t>gold</t>
        </is>
      </c>
      <c r="C142" s="3" t="inlineStr">
        <is>
          <t>fact_sales</t>
        </is>
      </c>
      <c r="D142" s="3" t="inlineStr">
        <is>
          <t>price</t>
        </is>
      </c>
      <c r="E142" s="3" t="inlineStr">
        <is>
          <t>FLOAT64</t>
        </is>
      </c>
      <c r="F142" s="3" t="inlineStr">
        <is>
          <t>NULLABLE</t>
        </is>
      </c>
      <c r="G142" s="3" t="inlineStr"/>
    </row>
    <row r="143">
      <c r="A143" s="3" t="inlineStr">
        <is>
          <t>bigquery</t>
        </is>
      </c>
      <c r="B143" s="3" t="inlineStr">
        <is>
          <t>gold</t>
        </is>
      </c>
      <c r="C143" s="3" t="inlineStr">
        <is>
          <t>fact_sales</t>
        </is>
      </c>
      <c r="D143" s="3" t="inlineStr">
        <is>
          <t>source</t>
        </is>
      </c>
      <c r="E143" s="3" t="inlineStr">
        <is>
          <t>STRING</t>
        </is>
      </c>
      <c r="F143" s="3" t="inlineStr">
        <is>
          <t>NULLABLE</t>
        </is>
      </c>
      <c r="G143" s="3" t="inlineStr">
        <is>
          <t>hm_hist | hm_transactions_replay | web_demo</t>
        </is>
      </c>
    </row>
    <row r="144">
      <c r="A144" s="3" t="inlineStr">
        <is>
          <t>bigquery</t>
        </is>
      </c>
      <c r="B144" s="3" t="inlineStr">
        <is>
          <t>gold</t>
        </is>
      </c>
      <c r="C144" s="3" t="inlineStr">
        <is>
          <t>fact_sales</t>
        </is>
      </c>
      <c r="D144" s="3" t="inlineStr">
        <is>
          <t>is_synthetic</t>
        </is>
      </c>
      <c r="E144" s="3" t="inlineStr">
        <is>
          <t>BOOL</t>
        </is>
      </c>
      <c r="F144" s="3" t="inlineStr">
        <is>
          <t>NULLABLE</t>
        </is>
      </c>
      <c r="G144" s="3" t="inlineStr"/>
    </row>
    <row r="145">
      <c r="A145" s="3" t="inlineStr">
        <is>
          <t>bigquery</t>
        </is>
      </c>
      <c r="B145" s="3" t="inlineStr">
        <is>
          <t>gold</t>
        </is>
      </c>
      <c r="C145" s="3" t="inlineStr">
        <is>
          <t>fact_sales</t>
        </is>
      </c>
      <c r="D145" s="3" t="inlineStr">
        <is>
          <t>order_id</t>
        </is>
      </c>
      <c r="E145" s="3" t="inlineStr">
        <is>
          <t>STRING</t>
        </is>
      </c>
      <c r="F145" s="3" t="inlineStr">
        <is>
          <t>NULLABLE</t>
        </is>
      </c>
      <c r="G145" s="3" t="inlineStr"/>
    </row>
    <row r="146">
      <c r="A146" s="3" t="inlineStr">
        <is>
          <t>bigquery</t>
        </is>
      </c>
      <c r="B146" s="3" t="inlineStr">
        <is>
          <t>gold</t>
        </is>
      </c>
      <c r="C146" s="3" t="inlineStr">
        <is>
          <t>fact_orders</t>
        </is>
      </c>
      <c r="D146" s="3" t="inlineStr">
        <is>
          <t>order_id</t>
        </is>
      </c>
      <c r="E146" s="3" t="inlineStr">
        <is>
          <t>STRING</t>
        </is>
      </c>
      <c r="F146" s="3" t="inlineStr">
        <is>
          <t>NULLABLE</t>
        </is>
      </c>
      <c r="G146" s="3" t="inlineStr"/>
    </row>
    <row r="147">
      <c r="A147" s="3" t="inlineStr">
        <is>
          <t>bigquery</t>
        </is>
      </c>
      <c r="B147" s="3" t="inlineStr">
        <is>
          <t>gold</t>
        </is>
      </c>
      <c r="C147" s="3" t="inlineStr">
        <is>
          <t>fact_orders</t>
        </is>
      </c>
      <c r="D147" s="3" t="inlineStr">
        <is>
          <t>order_date</t>
        </is>
      </c>
      <c r="E147" s="3" t="inlineStr">
        <is>
          <t>DATE</t>
        </is>
      </c>
      <c r="F147" s="3" t="inlineStr">
        <is>
          <t>NULLABLE</t>
        </is>
      </c>
      <c r="G147" s="3" t="inlineStr"/>
    </row>
    <row r="148">
      <c r="A148" s="3" t="inlineStr">
        <is>
          <t>bigquery</t>
        </is>
      </c>
      <c r="B148" s="3" t="inlineStr">
        <is>
          <t>gold</t>
        </is>
      </c>
      <c r="C148" s="3" t="inlineStr">
        <is>
          <t>fact_orders</t>
        </is>
      </c>
      <c r="D148" s="3" t="inlineStr">
        <is>
          <t>customer_id</t>
        </is>
      </c>
      <c r="E148" s="3" t="inlineStr">
        <is>
          <t>STRING</t>
        </is>
      </c>
      <c r="F148" s="3" t="inlineStr">
        <is>
          <t>NULLABLE</t>
        </is>
      </c>
      <c r="G148" s="3" t="inlineStr"/>
    </row>
    <row r="149">
      <c r="A149" s="3" t="inlineStr">
        <is>
          <t>bigquery</t>
        </is>
      </c>
      <c r="B149" s="3" t="inlineStr">
        <is>
          <t>gold</t>
        </is>
      </c>
      <c r="C149" s="3" t="inlineStr">
        <is>
          <t>fact_orders</t>
        </is>
      </c>
      <c r="D149" s="3" t="inlineStr">
        <is>
          <t>sales_channel_id</t>
        </is>
      </c>
      <c r="E149" s="3" t="inlineStr">
        <is>
          <t>INT64</t>
        </is>
      </c>
      <c r="F149" s="3" t="inlineStr">
        <is>
          <t>NULLABLE</t>
        </is>
      </c>
      <c r="G149" s="3" t="inlineStr"/>
    </row>
    <row r="150">
      <c r="A150" s="3" t="inlineStr">
        <is>
          <t>bigquery</t>
        </is>
      </c>
      <c r="B150" s="3" t="inlineStr">
        <is>
          <t>gold</t>
        </is>
      </c>
      <c r="C150" s="3" t="inlineStr">
        <is>
          <t>fact_orders</t>
        </is>
      </c>
      <c r="D150" s="3" t="inlineStr">
        <is>
          <t>source</t>
        </is>
      </c>
      <c r="E150" s="3" t="inlineStr">
        <is>
          <t>STRING</t>
        </is>
      </c>
      <c r="F150" s="3" t="inlineStr">
        <is>
          <t>NULLABLE</t>
        </is>
      </c>
      <c r="G150" s="3" t="inlineStr"/>
    </row>
    <row r="151">
      <c r="A151" s="3" t="inlineStr">
        <is>
          <t>bigquery</t>
        </is>
      </c>
      <c r="B151" s="3" t="inlineStr">
        <is>
          <t>gold</t>
        </is>
      </c>
      <c r="C151" s="3" t="inlineStr">
        <is>
          <t>fact_orders</t>
        </is>
      </c>
      <c r="D151" s="3" t="inlineStr">
        <is>
          <t>is_synthetic</t>
        </is>
      </c>
      <c r="E151" s="3" t="inlineStr">
        <is>
          <t>BOOL</t>
        </is>
      </c>
      <c r="F151" s="3" t="inlineStr">
        <is>
          <t>NULLABLE</t>
        </is>
      </c>
      <c r="G151" s="3" t="inlineStr"/>
    </row>
    <row r="152">
      <c r="A152" s="3" t="inlineStr">
        <is>
          <t>bigquery</t>
        </is>
      </c>
      <c r="B152" s="3" t="inlineStr">
        <is>
          <t>gold</t>
        </is>
      </c>
      <c r="C152" s="3" t="inlineStr">
        <is>
          <t>fact_orders</t>
        </is>
      </c>
      <c r="D152" s="3" t="inlineStr">
        <is>
          <t>lineas</t>
        </is>
      </c>
      <c r="E152" s="3" t="inlineStr">
        <is>
          <t>INT64</t>
        </is>
      </c>
      <c r="F152" s="3" t="inlineStr">
        <is>
          <t>NULLABLE</t>
        </is>
      </c>
      <c r="G152" s="3" t="inlineStr"/>
    </row>
    <row r="153">
      <c r="A153" s="3" t="inlineStr">
        <is>
          <t>bigquery</t>
        </is>
      </c>
      <c r="B153" s="3" t="inlineStr">
        <is>
          <t>gold</t>
        </is>
      </c>
      <c r="C153" s="3" t="inlineStr">
        <is>
          <t>fact_orders</t>
        </is>
      </c>
      <c r="D153" s="3" t="inlineStr">
        <is>
          <t>unidades</t>
        </is>
      </c>
      <c r="E153" s="3" t="inlineStr">
        <is>
          <t>INT64</t>
        </is>
      </c>
      <c r="F153" s="3" t="inlineStr">
        <is>
          <t>NULLABLE</t>
        </is>
      </c>
      <c r="G153" s="3" t="inlineStr"/>
    </row>
    <row r="154">
      <c r="A154" s="3" t="inlineStr">
        <is>
          <t>bigquery</t>
        </is>
      </c>
      <c r="B154" s="3" t="inlineStr">
        <is>
          <t>gold</t>
        </is>
      </c>
      <c r="C154" s="3" t="inlineStr">
        <is>
          <t>fact_orders</t>
        </is>
      </c>
      <c r="D154" s="3" t="inlineStr">
        <is>
          <t>importe</t>
        </is>
      </c>
      <c r="E154" s="3" t="inlineStr">
        <is>
          <t>FLOAT64</t>
        </is>
      </c>
      <c r="F154" s="3" t="inlineStr">
        <is>
          <t>NULLABLE</t>
        </is>
      </c>
      <c r="G154" s="3" t="inlineStr"/>
    </row>
    <row r="155">
      <c r="A155" s="3" t="inlineStr">
        <is>
          <t>bigquery</t>
        </is>
      </c>
      <c r="B155" s="3" t="inlineStr">
        <is>
          <t>gold</t>
        </is>
      </c>
      <c r="C155" s="3" t="inlineStr">
        <is>
          <t>reco_popular</t>
        </is>
      </c>
      <c r="D155" s="3" t="inlineStr">
        <is>
          <t>index_group_name</t>
        </is>
      </c>
      <c r="E155" s="3" t="inlineStr">
        <is>
          <t>STRING</t>
        </is>
      </c>
      <c r="F155" s="3" t="inlineStr">
        <is>
          <t>NULLABLE</t>
        </is>
      </c>
      <c r="G155" s="3" t="inlineStr"/>
    </row>
    <row r="156">
      <c r="A156" s="3" t="inlineStr">
        <is>
          <t>bigquery</t>
        </is>
      </c>
      <c r="B156" s="3" t="inlineStr">
        <is>
          <t>gold</t>
        </is>
      </c>
      <c r="C156" s="3" t="inlineStr">
        <is>
          <t>reco_popular</t>
        </is>
      </c>
      <c r="D156" s="3" t="inlineStr">
        <is>
          <t>article_id</t>
        </is>
      </c>
      <c r="E156" s="3" t="inlineStr">
        <is>
          <t>STRING</t>
        </is>
      </c>
      <c r="F156" s="3" t="inlineStr">
        <is>
          <t>NULLABLE</t>
        </is>
      </c>
      <c r="G156" s="3" t="inlineStr"/>
    </row>
    <row r="157">
      <c r="A157" s="3" t="inlineStr">
        <is>
          <t>bigquery</t>
        </is>
      </c>
      <c r="B157" s="3" t="inlineStr">
        <is>
          <t>gold</t>
        </is>
      </c>
      <c r="C157" s="3" t="inlineStr">
        <is>
          <t>reco_popular</t>
        </is>
      </c>
      <c r="D157" s="3" t="inlineStr">
        <is>
          <t>ventas_7d</t>
        </is>
      </c>
      <c r="E157" s="3" t="inlineStr">
        <is>
          <t>INT64</t>
        </is>
      </c>
      <c r="F157" s="3" t="inlineStr">
        <is>
          <t>NULLABLE</t>
        </is>
      </c>
      <c r="G157" s="3" t="inlineStr"/>
    </row>
    <row r="158">
      <c r="A158" s="3" t="inlineStr">
        <is>
          <t>bigquery</t>
        </is>
      </c>
      <c r="B158" s="3" t="inlineStr">
        <is>
          <t>gold</t>
        </is>
      </c>
      <c r="C158" s="3" t="inlineStr">
        <is>
          <t>reco_popular</t>
        </is>
      </c>
      <c r="D158" s="3" t="inlineStr">
        <is>
          <t>rank_grupo</t>
        </is>
      </c>
      <c r="E158" s="3" t="inlineStr">
        <is>
          <t>INT64</t>
        </is>
      </c>
      <c r="F158" s="3" t="inlineStr">
        <is>
          <t>NULLABLE</t>
        </is>
      </c>
      <c r="G158" s="3" t="inlineStr"/>
    </row>
    <row r="159">
      <c r="A159" s="3" t="inlineStr">
        <is>
          <t>bigquery</t>
        </is>
      </c>
      <c r="B159" s="3" t="inlineStr">
        <is>
          <t>gold</t>
        </is>
      </c>
      <c r="C159" s="3" t="inlineStr">
        <is>
          <t>v_catalog_serving</t>
        </is>
      </c>
      <c r="D159" s="3" t="inlineStr">
        <is>
          <t>article_id</t>
        </is>
      </c>
      <c r="E159" s="3" t="inlineStr">
        <is>
          <t>STRING</t>
        </is>
      </c>
      <c r="F159" s="3" t="inlineStr">
        <is>
          <t>NULLABLE</t>
        </is>
      </c>
      <c r="G159" s="3" t="inlineStr"/>
    </row>
    <row r="160">
      <c r="A160" s="3" t="inlineStr">
        <is>
          <t>bigquery</t>
        </is>
      </c>
      <c r="B160" s="3" t="inlineStr">
        <is>
          <t>gold</t>
        </is>
      </c>
      <c r="C160" s="3" t="inlineStr">
        <is>
          <t>v_catalog_serving</t>
        </is>
      </c>
      <c r="D160" s="3" t="inlineStr">
        <is>
          <t>prod_name</t>
        </is>
      </c>
      <c r="E160" s="3" t="inlineStr">
        <is>
          <t>STRING</t>
        </is>
      </c>
      <c r="F160" s="3" t="inlineStr">
        <is>
          <t>NULLABLE</t>
        </is>
      </c>
      <c r="G160" s="3" t="inlineStr"/>
    </row>
    <row r="161">
      <c r="A161" s="3" t="inlineStr">
        <is>
          <t>bigquery</t>
        </is>
      </c>
      <c r="B161" s="3" t="inlineStr">
        <is>
          <t>gold</t>
        </is>
      </c>
      <c r="C161" s="3" t="inlineStr">
        <is>
          <t>v_catalog_serving</t>
        </is>
      </c>
      <c r="D161" s="3" t="inlineStr">
        <is>
          <t>product_type</t>
        </is>
      </c>
      <c r="E161" s="3" t="inlineStr">
        <is>
          <t>STRING</t>
        </is>
      </c>
      <c r="F161" s="3" t="inlineStr">
        <is>
          <t>NULLABLE</t>
        </is>
      </c>
      <c r="G161" s="3" t="inlineStr"/>
    </row>
    <row r="162">
      <c r="A162" s="3" t="inlineStr">
        <is>
          <t>bigquery</t>
        </is>
      </c>
      <c r="B162" s="3" t="inlineStr">
        <is>
          <t>gold</t>
        </is>
      </c>
      <c r="C162" s="3" t="inlineStr">
        <is>
          <t>v_catalog_serving</t>
        </is>
      </c>
      <c r="D162" s="3" t="inlineStr">
        <is>
          <t>product_group</t>
        </is>
      </c>
      <c r="E162" s="3" t="inlineStr">
        <is>
          <t>STRING</t>
        </is>
      </c>
      <c r="F162" s="3" t="inlineStr">
        <is>
          <t>NULLABLE</t>
        </is>
      </c>
      <c r="G162" s="3" t="inlineStr"/>
    </row>
    <row r="163">
      <c r="A163" s="3" t="inlineStr">
        <is>
          <t>bigquery</t>
        </is>
      </c>
      <c r="B163" s="3" t="inlineStr">
        <is>
          <t>gold</t>
        </is>
      </c>
      <c r="C163" s="3" t="inlineStr">
        <is>
          <t>v_catalog_serving</t>
        </is>
      </c>
      <c r="D163" s="3" t="inlineStr">
        <is>
          <t>index_group</t>
        </is>
      </c>
      <c r="E163" s="3" t="inlineStr">
        <is>
          <t>STRING</t>
        </is>
      </c>
      <c r="F163" s="3" t="inlineStr">
        <is>
          <t>NULLABLE</t>
        </is>
      </c>
      <c r="G163" s="3" t="inlineStr"/>
    </row>
    <row r="164">
      <c r="A164" s="3" t="inlineStr">
        <is>
          <t>bigquery</t>
        </is>
      </c>
      <c r="B164" s="3" t="inlineStr">
        <is>
          <t>gold</t>
        </is>
      </c>
      <c r="C164" s="3" t="inlineStr">
        <is>
          <t>v_catalog_serving</t>
        </is>
      </c>
      <c r="D164" s="3" t="inlineStr">
        <is>
          <t>section</t>
        </is>
      </c>
      <c r="E164" s="3" t="inlineStr">
        <is>
          <t>STRING</t>
        </is>
      </c>
      <c r="F164" s="3" t="inlineStr">
        <is>
          <t>NULLABLE</t>
        </is>
      </c>
      <c r="G164" s="3" t="inlineStr"/>
    </row>
    <row r="165">
      <c r="A165" s="3" t="inlineStr">
        <is>
          <t>bigquery</t>
        </is>
      </c>
      <c r="B165" s="3" t="inlineStr">
        <is>
          <t>gold</t>
        </is>
      </c>
      <c r="C165" s="3" t="inlineStr">
        <is>
          <t>v_catalog_serving</t>
        </is>
      </c>
      <c r="D165" s="3" t="inlineStr">
        <is>
          <t>colour</t>
        </is>
      </c>
      <c r="E165" s="3" t="inlineStr">
        <is>
          <t>STRING</t>
        </is>
      </c>
      <c r="F165" s="3" t="inlineStr">
        <is>
          <t>NULLABLE</t>
        </is>
      </c>
      <c r="G165" s="3" t="inlineStr"/>
    </row>
    <row r="166">
      <c r="A166" s="3" t="inlineStr">
        <is>
          <t>bigquery</t>
        </is>
      </c>
      <c r="B166" s="3" t="inlineStr">
        <is>
          <t>gold</t>
        </is>
      </c>
      <c r="C166" s="3" t="inlineStr">
        <is>
          <t>v_catalog_serving</t>
        </is>
      </c>
      <c r="D166" s="3" t="inlineStr">
        <is>
          <t>detail_desc</t>
        </is>
      </c>
      <c r="E166" s="3" t="inlineStr">
        <is>
          <t>STRING</t>
        </is>
      </c>
      <c r="F166" s="3" t="inlineStr">
        <is>
          <t>NULLABLE</t>
        </is>
      </c>
      <c r="G166" s="3" t="inlineStr"/>
    </row>
    <row r="167">
      <c r="A167" s="3" t="inlineStr">
        <is>
          <t>bigquery</t>
        </is>
      </c>
      <c r="B167" s="3" t="inlineStr">
        <is>
          <t>gold</t>
        </is>
      </c>
      <c r="C167" s="3" t="inlineStr">
        <is>
          <t>v_catalog_serving</t>
        </is>
      </c>
      <c r="D167" s="3" t="inlineStr">
        <is>
          <t>price_cents</t>
        </is>
      </c>
      <c r="E167" s="3" t="inlineStr">
        <is>
          <t>INT64</t>
        </is>
      </c>
      <c r="F167" s="3" t="inlineStr">
        <is>
          <t>NULLABLE</t>
        </is>
      </c>
      <c r="G167" s="3" t="inlineStr"/>
    </row>
    <row r="168">
      <c r="A168" s="3" t="inlineStr">
        <is>
          <t>bigquery</t>
        </is>
      </c>
      <c r="B168" s="3" t="inlineStr">
        <is>
          <t>gold</t>
        </is>
      </c>
      <c r="C168" s="3" t="inlineStr">
        <is>
          <t>v_catalog_serving</t>
        </is>
      </c>
      <c r="D168" s="3" t="inlineStr">
        <is>
          <t>popularity</t>
        </is>
      </c>
      <c r="E168" s="3" t="inlineStr">
        <is>
          <t>INT64</t>
        </is>
      </c>
      <c r="F168" s="3" t="inlineStr">
        <is>
          <t>NULLABLE</t>
        </is>
      </c>
      <c r="G168" s="3" t="inlineStr"/>
    </row>
    <row r="169">
      <c r="A169" s="3" t="inlineStr">
        <is>
          <t>bigquery</t>
        </is>
      </c>
      <c r="B169" s="3" t="inlineStr">
        <is>
          <t>gold</t>
        </is>
      </c>
      <c r="C169" s="3" t="inlineStr">
        <is>
          <t>v_ventas_mensuales</t>
        </is>
      </c>
      <c r="D169" s="3" t="inlineStr">
        <is>
          <t>anio_mes</t>
        </is>
      </c>
      <c r="E169" s="3" t="inlineStr">
        <is>
          <t>STRING</t>
        </is>
      </c>
      <c r="F169" s="3" t="inlineStr">
        <is>
          <t>NULLABLE</t>
        </is>
      </c>
      <c r="G169" s="3" t="inlineStr"/>
    </row>
    <row r="170">
      <c r="A170" s="3" t="inlineStr">
        <is>
          <t>bigquery</t>
        </is>
      </c>
      <c r="B170" s="3" t="inlineStr">
        <is>
          <t>gold</t>
        </is>
      </c>
      <c r="C170" s="3" t="inlineStr">
        <is>
          <t>v_ventas_mensuales</t>
        </is>
      </c>
      <c r="D170" s="3" t="inlineStr">
        <is>
          <t>canal</t>
        </is>
      </c>
      <c r="E170" s="3" t="inlineStr">
        <is>
          <t>STRING</t>
        </is>
      </c>
      <c r="F170" s="3" t="inlineStr">
        <is>
          <t>NULLABLE</t>
        </is>
      </c>
      <c r="G170" s="3" t="inlineStr"/>
    </row>
    <row r="171">
      <c r="A171" s="3" t="inlineStr">
        <is>
          <t>bigquery</t>
        </is>
      </c>
      <c r="B171" s="3" t="inlineStr">
        <is>
          <t>gold</t>
        </is>
      </c>
      <c r="C171" s="3" t="inlineStr">
        <is>
          <t>v_ventas_mensuales</t>
        </is>
      </c>
      <c r="D171" s="3" t="inlineStr">
        <is>
          <t>source</t>
        </is>
      </c>
      <c r="E171" s="3" t="inlineStr">
        <is>
          <t>STRING</t>
        </is>
      </c>
      <c r="F171" s="3" t="inlineStr">
        <is>
          <t>NULLABLE</t>
        </is>
      </c>
      <c r="G171" s="3" t="inlineStr"/>
    </row>
    <row r="172">
      <c r="A172" s="3" t="inlineStr">
        <is>
          <t>bigquery</t>
        </is>
      </c>
      <c r="B172" s="3" t="inlineStr">
        <is>
          <t>gold</t>
        </is>
      </c>
      <c r="C172" s="3" t="inlineStr">
        <is>
          <t>v_ventas_mensuales</t>
        </is>
      </c>
      <c r="D172" s="3" t="inlineStr">
        <is>
          <t>is_synthetic</t>
        </is>
      </c>
      <c r="E172" s="3" t="inlineStr">
        <is>
          <t>BOOL</t>
        </is>
      </c>
      <c r="F172" s="3" t="inlineStr">
        <is>
          <t>NULLABLE</t>
        </is>
      </c>
      <c r="G172" s="3" t="inlineStr"/>
    </row>
    <row r="173">
      <c r="A173" s="3" t="inlineStr">
        <is>
          <t>bigquery</t>
        </is>
      </c>
      <c r="B173" s="3" t="inlineStr">
        <is>
          <t>gold</t>
        </is>
      </c>
      <c r="C173" s="3" t="inlineStr">
        <is>
          <t>v_ventas_mensuales</t>
        </is>
      </c>
      <c r="D173" s="3" t="inlineStr">
        <is>
          <t>pedidos</t>
        </is>
      </c>
      <c r="E173" s="3" t="inlineStr">
        <is>
          <t>INT64</t>
        </is>
      </c>
      <c r="F173" s="3" t="inlineStr">
        <is>
          <t>NULLABLE</t>
        </is>
      </c>
      <c r="G173" s="3" t="inlineStr"/>
    </row>
    <row r="174">
      <c r="A174" s="3" t="inlineStr">
        <is>
          <t>bigquery</t>
        </is>
      </c>
      <c r="B174" s="3" t="inlineStr">
        <is>
          <t>gold</t>
        </is>
      </c>
      <c r="C174" s="3" t="inlineStr">
        <is>
          <t>v_ventas_mensuales</t>
        </is>
      </c>
      <c r="D174" s="3" t="inlineStr">
        <is>
          <t>unidades</t>
        </is>
      </c>
      <c r="E174" s="3" t="inlineStr">
        <is>
          <t>INT64</t>
        </is>
      </c>
      <c r="F174" s="3" t="inlineStr">
        <is>
          <t>NULLABLE</t>
        </is>
      </c>
      <c r="G174" s="3" t="inlineStr"/>
    </row>
    <row r="175">
      <c r="A175" s="3" t="inlineStr">
        <is>
          <t>bigquery</t>
        </is>
      </c>
      <c r="B175" s="3" t="inlineStr">
        <is>
          <t>gold</t>
        </is>
      </c>
      <c r="C175" s="3" t="inlineStr">
        <is>
          <t>v_ventas_mensuales</t>
        </is>
      </c>
      <c r="D175" s="3" t="inlineStr">
        <is>
          <t>importe</t>
        </is>
      </c>
      <c r="E175" s="3" t="inlineStr">
        <is>
          <t>FLOAT64</t>
        </is>
      </c>
      <c r="F175" s="3" t="inlineStr">
        <is>
          <t>NULLABLE</t>
        </is>
      </c>
      <c r="G175" s="3" t="inlineStr"/>
    </row>
    <row r="176">
      <c r="A176" s="3" t="inlineStr">
        <is>
          <t>bigquery</t>
        </is>
      </c>
      <c r="B176" s="3" t="inlineStr">
        <is>
          <t>gold</t>
        </is>
      </c>
      <c r="C176" s="3" t="inlineStr">
        <is>
          <t>v_ventas_mensuales</t>
        </is>
      </c>
      <c r="D176" s="3" t="inlineStr">
        <is>
          <t>ticket_medio</t>
        </is>
      </c>
      <c r="E176" s="3" t="inlineStr">
        <is>
          <t>FLOAT64</t>
        </is>
      </c>
      <c r="F176" s="3" t="inlineStr">
        <is>
          <t>NULLABLE</t>
        </is>
      </c>
      <c r="G176" s="3" t="inlineStr"/>
    </row>
    <row r="177">
      <c r="A177" s="3" t="inlineStr">
        <is>
          <t>bigquery</t>
        </is>
      </c>
      <c r="B177" s="3" t="inlineStr">
        <is>
          <t>gold</t>
        </is>
      </c>
      <c r="C177" s="3" t="inlineStr">
        <is>
          <t>v_top_articulos</t>
        </is>
      </c>
      <c r="D177" s="3" t="inlineStr">
        <is>
          <t>anio_mes</t>
        </is>
      </c>
      <c r="E177" s="3" t="inlineStr">
        <is>
          <t>STRING</t>
        </is>
      </c>
      <c r="F177" s="3" t="inlineStr">
        <is>
          <t>NULLABLE</t>
        </is>
      </c>
      <c r="G177" s="3" t="inlineStr"/>
    </row>
    <row r="178">
      <c r="A178" s="3" t="inlineStr">
        <is>
          <t>bigquery</t>
        </is>
      </c>
      <c r="B178" s="3" t="inlineStr">
        <is>
          <t>gold</t>
        </is>
      </c>
      <c r="C178" s="3" t="inlineStr">
        <is>
          <t>v_top_articulos</t>
        </is>
      </c>
      <c r="D178" s="3" t="inlineStr">
        <is>
          <t>index_group_name</t>
        </is>
      </c>
      <c r="E178" s="3" t="inlineStr">
        <is>
          <t>STRING</t>
        </is>
      </c>
      <c r="F178" s="3" t="inlineStr">
        <is>
          <t>NULLABLE</t>
        </is>
      </c>
      <c r="G178" s="3" t="inlineStr"/>
    </row>
    <row r="179">
      <c r="A179" s="3" t="inlineStr">
        <is>
          <t>bigquery</t>
        </is>
      </c>
      <c r="B179" s="3" t="inlineStr">
        <is>
          <t>gold</t>
        </is>
      </c>
      <c r="C179" s="3" t="inlineStr">
        <is>
          <t>v_top_articulos</t>
        </is>
      </c>
      <c r="D179" s="3" t="inlineStr">
        <is>
          <t>product_type_name</t>
        </is>
      </c>
      <c r="E179" s="3" t="inlineStr">
        <is>
          <t>STRING</t>
        </is>
      </c>
      <c r="F179" s="3" t="inlineStr">
        <is>
          <t>NULLABLE</t>
        </is>
      </c>
      <c r="G179" s="3" t="inlineStr"/>
    </row>
    <row r="180">
      <c r="A180" s="3" t="inlineStr">
        <is>
          <t>bigquery</t>
        </is>
      </c>
      <c r="B180" s="3" t="inlineStr">
        <is>
          <t>gold</t>
        </is>
      </c>
      <c r="C180" s="3" t="inlineStr">
        <is>
          <t>v_top_articulos</t>
        </is>
      </c>
      <c r="D180" s="3" t="inlineStr">
        <is>
          <t>prod_name</t>
        </is>
      </c>
      <c r="E180" s="3" t="inlineStr">
        <is>
          <t>STRING</t>
        </is>
      </c>
      <c r="F180" s="3" t="inlineStr">
        <is>
          <t>NULLABLE</t>
        </is>
      </c>
      <c r="G180" s="3" t="inlineStr"/>
    </row>
    <row r="181">
      <c r="A181" s="3" t="inlineStr">
        <is>
          <t>bigquery</t>
        </is>
      </c>
      <c r="B181" s="3" t="inlineStr">
        <is>
          <t>gold</t>
        </is>
      </c>
      <c r="C181" s="3" t="inlineStr">
        <is>
          <t>v_top_articulos</t>
        </is>
      </c>
      <c r="D181" s="3" t="inlineStr">
        <is>
          <t>article_id</t>
        </is>
      </c>
      <c r="E181" s="3" t="inlineStr">
        <is>
          <t>STRING</t>
        </is>
      </c>
      <c r="F181" s="3" t="inlineStr">
        <is>
          <t>NULLABLE</t>
        </is>
      </c>
      <c r="G181" s="3" t="inlineStr"/>
    </row>
    <row r="182">
      <c r="A182" s="3" t="inlineStr">
        <is>
          <t>bigquery</t>
        </is>
      </c>
      <c r="B182" s="3" t="inlineStr">
        <is>
          <t>gold</t>
        </is>
      </c>
      <c r="C182" s="3" t="inlineStr">
        <is>
          <t>v_top_articulos</t>
        </is>
      </c>
      <c r="D182" s="3" t="inlineStr">
        <is>
          <t>lineas</t>
        </is>
      </c>
      <c r="E182" s="3" t="inlineStr">
        <is>
          <t>INT64</t>
        </is>
      </c>
      <c r="F182" s="3" t="inlineStr">
        <is>
          <t>NULLABLE</t>
        </is>
      </c>
      <c r="G182" s="3" t="inlineStr"/>
    </row>
    <row r="183">
      <c r="A183" s="3" t="inlineStr">
        <is>
          <t>bigquery</t>
        </is>
      </c>
      <c r="B183" s="3" t="inlineStr">
        <is>
          <t>gold</t>
        </is>
      </c>
      <c r="C183" s="3" t="inlineStr">
        <is>
          <t>v_top_articulos</t>
        </is>
      </c>
      <c r="D183" s="3" t="inlineStr">
        <is>
          <t>importe</t>
        </is>
      </c>
      <c r="E183" s="3" t="inlineStr">
        <is>
          <t>FLOAT64</t>
        </is>
      </c>
      <c r="F183" s="3" t="inlineStr">
        <is>
          <t>NULLABLE</t>
        </is>
      </c>
      <c r="G183" s="3" t="inlineStr"/>
    </row>
    <row r="184">
      <c r="A184" s="3" t="inlineStr">
        <is>
          <t>bigquery</t>
        </is>
      </c>
      <c r="B184" s="3" t="inlineStr">
        <is>
          <t>gold</t>
        </is>
      </c>
      <c r="C184" s="3" t="inlineStr">
        <is>
          <t>v_recurrencia_clientes</t>
        </is>
      </c>
      <c r="D184" s="3" t="inlineStr">
        <is>
          <t>age_band</t>
        </is>
      </c>
      <c r="E184" s="3" t="inlineStr">
        <is>
          <t>STRING</t>
        </is>
      </c>
      <c r="F184" s="3" t="inlineStr">
        <is>
          <t>NULLABLE</t>
        </is>
      </c>
      <c r="G184" s="3" t="inlineStr"/>
    </row>
    <row r="185">
      <c r="A185" s="3" t="inlineStr">
        <is>
          <t>bigquery</t>
        </is>
      </c>
      <c r="B185" s="3" t="inlineStr">
        <is>
          <t>gold</t>
        </is>
      </c>
      <c r="C185" s="3" t="inlineStr">
        <is>
          <t>v_recurrencia_clientes</t>
        </is>
      </c>
      <c r="D185" s="3" t="inlineStr">
        <is>
          <t>clientes</t>
        </is>
      </c>
      <c r="E185" s="3" t="inlineStr">
        <is>
          <t>INT64</t>
        </is>
      </c>
      <c r="F185" s="3" t="inlineStr">
        <is>
          <t>NULLABLE</t>
        </is>
      </c>
      <c r="G185" s="3" t="inlineStr"/>
    </row>
    <row r="186">
      <c r="A186" s="3" t="inlineStr">
        <is>
          <t>bigquery</t>
        </is>
      </c>
      <c r="B186" s="3" t="inlineStr">
        <is>
          <t>gold</t>
        </is>
      </c>
      <c r="C186" s="3" t="inlineStr">
        <is>
          <t>v_recurrencia_clientes</t>
        </is>
      </c>
      <c r="D186" s="3" t="inlineStr">
        <is>
          <t>pedidos</t>
        </is>
      </c>
      <c r="E186" s="3" t="inlineStr">
        <is>
          <t>INT64</t>
        </is>
      </c>
      <c r="F186" s="3" t="inlineStr">
        <is>
          <t>NULLABLE</t>
        </is>
      </c>
      <c r="G186" s="3" t="inlineStr"/>
    </row>
    <row r="187">
      <c r="A187" s="3" t="inlineStr">
        <is>
          <t>bigquery</t>
        </is>
      </c>
      <c r="B187" s="3" t="inlineStr">
        <is>
          <t>gold</t>
        </is>
      </c>
      <c r="C187" s="3" t="inlineStr">
        <is>
          <t>v_recurrencia_clientes</t>
        </is>
      </c>
      <c r="D187" s="3" t="inlineStr">
        <is>
          <t>pedidos_por_cliente</t>
        </is>
      </c>
      <c r="E187" s="3" t="inlineStr">
        <is>
          <t>FLOAT64</t>
        </is>
      </c>
      <c r="F187" s="3" t="inlineStr">
        <is>
          <t>NULLABLE</t>
        </is>
      </c>
      <c r="G187" s="3" t="inlineStr"/>
    </row>
    <row r="188">
      <c r="A188" s="3" t="inlineStr">
        <is>
          <t>bigquery</t>
        </is>
      </c>
      <c r="B188" s="3" t="inlineStr">
        <is>
          <t>ops</t>
        </is>
      </c>
      <c r="C188" s="3" t="inlineStr">
        <is>
          <t>stream_metrics_1m</t>
        </is>
      </c>
      <c r="D188" s="3" t="inlineStr">
        <is>
          <t>window_start</t>
        </is>
      </c>
      <c r="E188" s="3" t="inlineStr">
        <is>
          <t>TIMESTAMP</t>
        </is>
      </c>
      <c r="F188" s="3" t="inlineStr">
        <is>
          <t>NULLABLE</t>
        </is>
      </c>
      <c r="G188" s="3" t="inlineStr"/>
    </row>
    <row r="189">
      <c r="A189" s="3" t="inlineStr">
        <is>
          <t>bigquery</t>
        </is>
      </c>
      <c r="B189" s="3" t="inlineStr">
        <is>
          <t>ops</t>
        </is>
      </c>
      <c r="C189" s="3" t="inlineStr">
        <is>
          <t>stream_metrics_1m</t>
        </is>
      </c>
      <c r="D189" s="3" t="inlineStr">
        <is>
          <t>window_end</t>
        </is>
      </c>
      <c r="E189" s="3" t="inlineStr">
        <is>
          <t>TIMESTAMP</t>
        </is>
      </c>
      <c r="F189" s="3" t="inlineStr">
        <is>
          <t>NULLABLE</t>
        </is>
      </c>
      <c r="G189" s="3" t="inlineStr"/>
    </row>
    <row r="190">
      <c r="A190" s="3" t="inlineStr">
        <is>
          <t>bigquery</t>
        </is>
      </c>
      <c r="B190" s="3" t="inlineStr">
        <is>
          <t>ops</t>
        </is>
      </c>
      <c r="C190" s="3" t="inlineStr">
        <is>
          <t>stream_metrics_1m</t>
        </is>
      </c>
      <c r="D190" s="3" t="inlineStr">
        <is>
          <t>eventos</t>
        </is>
      </c>
      <c r="E190" s="3" t="inlineStr">
        <is>
          <t>INT64</t>
        </is>
      </c>
      <c r="F190" s="3" t="inlineStr">
        <is>
          <t>NULLABLE</t>
        </is>
      </c>
      <c r="G190" s="3" t="inlineStr"/>
    </row>
    <row r="191">
      <c r="A191" s="3" t="inlineStr">
        <is>
          <t>bigquery</t>
        </is>
      </c>
      <c r="B191" s="3" t="inlineStr">
        <is>
          <t>ops</t>
        </is>
      </c>
      <c r="C191" s="3" t="inlineStr">
        <is>
          <t>stream_metrics_1m</t>
        </is>
      </c>
      <c r="D191" s="3" t="inlineStr">
        <is>
          <t>compras</t>
        </is>
      </c>
      <c r="E191" s="3" t="inlineStr">
        <is>
          <t>INT64</t>
        </is>
      </c>
      <c r="F191" s="3" t="inlineStr">
        <is>
          <t>NULLABLE</t>
        </is>
      </c>
      <c r="G191" s="3" t="inlineStr"/>
    </row>
    <row r="192">
      <c r="A192" s="3" t="inlineStr">
        <is>
          <t>bigquery</t>
        </is>
      </c>
      <c r="B192" s="3" t="inlineStr">
        <is>
          <t>ops</t>
        </is>
      </c>
      <c r="C192" s="3" t="inlineStr">
        <is>
          <t>stream_metrics_1m</t>
        </is>
      </c>
      <c r="D192" s="3" t="inlineStr">
        <is>
          <t>importe</t>
        </is>
      </c>
      <c r="E192" s="3" t="inlineStr">
        <is>
          <t>FLOAT64</t>
        </is>
      </c>
      <c r="F192" s="3" t="inlineStr">
        <is>
          <t>NULLABLE</t>
        </is>
      </c>
      <c r="G192" s="3" t="inlineStr"/>
    </row>
    <row r="193">
      <c r="A193" s="3" t="inlineStr">
        <is>
          <t>bigquery</t>
        </is>
      </c>
      <c r="B193" s="3" t="inlineStr">
        <is>
          <t>ops</t>
        </is>
      </c>
      <c r="C193" s="3" t="inlineStr">
        <is>
          <t>stream_metrics_1m</t>
        </is>
      </c>
      <c r="D193" s="3" t="inlineStr">
        <is>
          <t>lag_p50_s</t>
        </is>
      </c>
      <c r="E193" s="3" t="inlineStr">
        <is>
          <t>FLOAT64</t>
        </is>
      </c>
      <c r="F193" s="3" t="inlineStr">
        <is>
          <t>NULLABLE</t>
        </is>
      </c>
      <c r="G193" s="3" t="inlineStr"/>
    </row>
    <row r="194">
      <c r="A194" s="3" t="inlineStr">
        <is>
          <t>bigquery</t>
        </is>
      </c>
      <c r="B194" s="3" t="inlineStr">
        <is>
          <t>ops</t>
        </is>
      </c>
      <c r="C194" s="3" t="inlineStr">
        <is>
          <t>stream_metrics_1m</t>
        </is>
      </c>
      <c r="D194" s="3" t="inlineStr">
        <is>
          <t>lag_p95_s</t>
        </is>
      </c>
      <c r="E194" s="3" t="inlineStr">
        <is>
          <t>FLOAT64</t>
        </is>
      </c>
      <c r="F194" s="3" t="inlineStr">
        <is>
          <t>NULLABLE</t>
        </is>
      </c>
      <c r="G194" s="3" t="inlineStr"/>
    </row>
    <row r="195">
      <c r="A195" s="3" t="inlineStr">
        <is>
          <t>bigquery</t>
        </is>
      </c>
      <c r="B195" s="3" t="inlineStr">
        <is>
          <t>ops</t>
        </is>
      </c>
      <c r="C195" s="3" t="inlineStr">
        <is>
          <t>stream_metrics_1m</t>
        </is>
      </c>
      <c r="D195" s="3" t="inlineStr">
        <is>
          <t>emitido</t>
        </is>
      </c>
      <c r="E195" s="3" t="inlineStr">
        <is>
          <t>TIMESTAMP</t>
        </is>
      </c>
      <c r="F195" s="3" t="inlineStr">
        <is>
          <t>NULLABLE</t>
        </is>
      </c>
      <c r="G195" s="3" t="inlineStr"/>
    </row>
    <row r="196">
      <c r="A196" s="3" t="inlineStr">
        <is>
          <t>bigquery</t>
        </is>
      </c>
      <c r="B196" s="3" t="inlineStr">
        <is>
          <t>ops</t>
        </is>
      </c>
      <c r="C196" s="3" t="inlineStr">
        <is>
          <t>stream_dlq</t>
        </is>
      </c>
      <c r="D196" s="3" t="inlineStr">
        <is>
          <t>recibido</t>
        </is>
      </c>
      <c r="E196" s="3" t="inlineStr">
        <is>
          <t>TIMESTAMP</t>
        </is>
      </c>
      <c r="F196" s="3" t="inlineStr">
        <is>
          <t>NULLABLE</t>
        </is>
      </c>
      <c r="G196" s="3" t="inlineStr"/>
    </row>
    <row r="197">
      <c r="A197" s="3" t="inlineStr">
        <is>
          <t>bigquery</t>
        </is>
      </c>
      <c r="B197" s="3" t="inlineStr">
        <is>
          <t>ops</t>
        </is>
      </c>
      <c r="C197" s="3" t="inlineStr">
        <is>
          <t>stream_dlq</t>
        </is>
      </c>
      <c r="D197" s="3" t="inlineStr">
        <is>
          <t>error</t>
        </is>
      </c>
      <c r="E197" s="3" t="inlineStr">
        <is>
          <t>STRING</t>
        </is>
      </c>
      <c r="F197" s="3" t="inlineStr">
        <is>
          <t>NULLABLE</t>
        </is>
      </c>
      <c r="G197" s="3" t="inlineStr"/>
    </row>
    <row r="198">
      <c r="A198" s="3" t="inlineStr">
        <is>
          <t>bigquery</t>
        </is>
      </c>
      <c r="B198" s="3" t="inlineStr">
        <is>
          <t>ops</t>
        </is>
      </c>
      <c r="C198" s="3" t="inlineStr">
        <is>
          <t>stream_dlq</t>
        </is>
      </c>
      <c r="D198" s="3" t="inlineStr">
        <is>
          <t>payload</t>
        </is>
      </c>
      <c r="E198" s="3" t="inlineStr">
        <is>
          <t>STRING</t>
        </is>
      </c>
      <c r="F198" s="3" t="inlineStr">
        <is>
          <t>NULLABLE</t>
        </is>
      </c>
      <c r="G198" s="3" t="inlineStr"/>
    </row>
    <row r="199">
      <c r="A199" s="3" t="inlineStr">
        <is>
          <t>bigquery</t>
        </is>
      </c>
      <c r="B199" s="3" t="inlineStr">
        <is>
          <t>ops</t>
        </is>
      </c>
      <c r="C199" s="3" t="inlineStr">
        <is>
          <t>v_stream_salud</t>
        </is>
      </c>
      <c r="D199" s="3" t="inlineStr">
        <is>
          <t>minuto</t>
        </is>
      </c>
      <c r="E199" s="3" t="inlineStr">
        <is>
          <t>TIMESTAMP</t>
        </is>
      </c>
      <c r="F199" s="3" t="inlineStr">
        <is>
          <t>NULLABLE</t>
        </is>
      </c>
      <c r="G199" s="3" t="inlineStr"/>
    </row>
    <row r="200">
      <c r="A200" s="3" t="inlineStr">
        <is>
          <t>bigquery</t>
        </is>
      </c>
      <c r="B200" s="3" t="inlineStr">
        <is>
          <t>ops</t>
        </is>
      </c>
      <c r="C200" s="3" t="inlineStr">
        <is>
          <t>v_stream_salud</t>
        </is>
      </c>
      <c r="D200" s="3" t="inlineStr">
        <is>
          <t>source_system</t>
        </is>
      </c>
      <c r="E200" s="3" t="inlineStr">
        <is>
          <t>STRING</t>
        </is>
      </c>
      <c r="F200" s="3" t="inlineStr">
        <is>
          <t>NULLABLE</t>
        </is>
      </c>
      <c r="G200" s="3" t="inlineStr"/>
    </row>
    <row r="201">
      <c r="A201" s="3" t="inlineStr">
        <is>
          <t>bigquery</t>
        </is>
      </c>
      <c r="B201" s="3" t="inlineStr">
        <is>
          <t>ops</t>
        </is>
      </c>
      <c r="C201" s="3" t="inlineStr">
        <is>
          <t>v_stream_salud</t>
        </is>
      </c>
      <c r="D201" s="3" t="inlineStr">
        <is>
          <t>eventos</t>
        </is>
      </c>
      <c r="E201" s="3" t="inlineStr">
        <is>
          <t>INT64</t>
        </is>
      </c>
      <c r="F201" s="3" t="inlineStr">
        <is>
          <t>NULLABLE</t>
        </is>
      </c>
      <c r="G201" s="3" t="inlineStr"/>
    </row>
    <row r="202">
      <c r="A202" s="3" t="inlineStr">
        <is>
          <t>bigquery</t>
        </is>
      </c>
      <c r="B202" s="3" t="inlineStr">
        <is>
          <t>ops</t>
        </is>
      </c>
      <c r="C202" s="3" t="inlineStr">
        <is>
          <t>v_stream_salud</t>
        </is>
      </c>
      <c r="D202" s="3" t="inlineStr">
        <is>
          <t>eventos_unicos</t>
        </is>
      </c>
      <c r="E202" s="3" t="inlineStr">
        <is>
          <t>INT64</t>
        </is>
      </c>
      <c r="F202" s="3" t="inlineStr">
        <is>
          <t>NULLABLE</t>
        </is>
      </c>
      <c r="G202" s="3" t="inlineStr"/>
    </row>
    <row r="203">
      <c r="A203" s="3" t="inlineStr">
        <is>
          <t>bigquery</t>
        </is>
      </c>
      <c r="B203" s="3" t="inlineStr">
        <is>
          <t>ops</t>
        </is>
      </c>
      <c r="C203" s="3" t="inlineStr">
        <is>
          <t>v_stream_salud</t>
        </is>
      </c>
      <c r="D203" s="3" t="inlineStr">
        <is>
          <t>duplicados</t>
        </is>
      </c>
      <c r="E203" s="3" t="inlineStr">
        <is>
          <t>INT64</t>
        </is>
      </c>
      <c r="F203" s="3" t="inlineStr">
        <is>
          <t>NULLABLE</t>
        </is>
      </c>
      <c r="G203" s="3" t="inlineStr"/>
    </row>
    <row r="204">
      <c r="A204" s="3" t="inlineStr">
        <is>
          <t>bigquery</t>
        </is>
      </c>
      <c r="B204" s="3" t="inlineStr">
        <is>
          <t>ops</t>
        </is>
      </c>
      <c r="C204" s="3" t="inlineStr">
        <is>
          <t>v_costo_real_mensual</t>
        </is>
      </c>
      <c r="D204" s="3" t="inlineStr">
        <is>
          <t>mes</t>
        </is>
      </c>
      <c r="E204" s="3" t="inlineStr">
        <is>
          <t>STRING</t>
        </is>
      </c>
      <c r="F204" s="3" t="inlineStr">
        <is>
          <t>NULLABLE</t>
        </is>
      </c>
      <c r="G204" s="3" t="inlineStr"/>
    </row>
    <row r="205">
      <c r="A205" s="3" t="inlineStr">
        <is>
          <t>bigquery</t>
        </is>
      </c>
      <c r="B205" s="3" t="inlineStr">
        <is>
          <t>ops</t>
        </is>
      </c>
      <c r="C205" s="3" t="inlineStr">
        <is>
          <t>v_costo_real_mensual</t>
        </is>
      </c>
      <c r="D205" s="3" t="inlineStr">
        <is>
          <t>servicio</t>
        </is>
      </c>
      <c r="E205" s="3" t="inlineStr">
        <is>
          <t>STRING</t>
        </is>
      </c>
      <c r="F205" s="3" t="inlineStr">
        <is>
          <t>NULLABLE</t>
        </is>
      </c>
      <c r="G205" s="3" t="inlineStr"/>
    </row>
    <row r="206">
      <c r="A206" s="3" t="inlineStr">
        <is>
          <t>bigquery</t>
        </is>
      </c>
      <c r="B206" s="3" t="inlineStr">
        <is>
          <t>ops</t>
        </is>
      </c>
      <c r="C206" s="3" t="inlineStr">
        <is>
          <t>v_costo_real_mensual</t>
        </is>
      </c>
      <c r="D206" s="3" t="inlineStr">
        <is>
          <t>usd_neto</t>
        </is>
      </c>
      <c r="E206" s="3" t="inlineStr">
        <is>
          <t>FLOAT64</t>
        </is>
      </c>
      <c r="F206" s="3" t="inlineStr">
        <is>
          <t>NULLABLE</t>
        </is>
      </c>
      <c r="G206" s="3" t="inlineStr"/>
    </row>
    <row r="207">
      <c r="A207" s="3" t="inlineStr">
        <is>
          <t>bigquery</t>
        </is>
      </c>
      <c r="B207" s="3" t="inlineStr">
        <is>
          <t>ops</t>
        </is>
      </c>
      <c r="C207" s="3" t="inlineStr">
        <is>
          <t>v_costo_real_mensual</t>
        </is>
      </c>
      <c r="D207" s="3" t="inlineStr">
        <is>
          <t>usd_total_mes</t>
        </is>
      </c>
      <c r="E207" s="3" t="inlineStr">
        <is>
          <t>FLOAT64</t>
        </is>
      </c>
      <c r="F207" s="3" t="inlineStr">
        <is>
          <t>NULLABLE</t>
        </is>
      </c>
      <c r="G207" s="3" t="inlineStr"/>
    </row>
    <row r="208">
      <c r="A208" s="3" t="inlineStr">
        <is>
          <t>bigquery</t>
        </is>
      </c>
      <c r="B208" s="3" t="inlineStr">
        <is>
          <t>ops</t>
        </is>
      </c>
      <c r="C208" s="3" t="inlineStr">
        <is>
          <t>v_costo_real_mensual</t>
        </is>
      </c>
      <c r="D208" s="3" t="inlineStr">
        <is>
          <t>pedidos</t>
        </is>
      </c>
      <c r="E208" s="3" t="inlineStr">
        <is>
          <t>INT64</t>
        </is>
      </c>
      <c r="F208" s="3" t="inlineStr">
        <is>
          <t>NULLABLE</t>
        </is>
      </c>
      <c r="G208" s="3" t="inlineStr"/>
    </row>
    <row r="209">
      <c r="A209" s="3" t="inlineStr">
        <is>
          <t>bigquery</t>
        </is>
      </c>
      <c r="B209" s="3" t="inlineStr">
        <is>
          <t>ops</t>
        </is>
      </c>
      <c r="C209" s="3" t="inlineStr">
        <is>
          <t>v_costo_real_mensual</t>
        </is>
      </c>
      <c r="D209" s="3" t="inlineStr">
        <is>
          <t>usd_por_pedido</t>
        </is>
      </c>
      <c r="E209" s="3" t="inlineStr">
        <is>
          <t>FLOAT64</t>
        </is>
      </c>
      <c r="F209" s="3" t="inlineStr">
        <is>
          <t>NULLABLE</t>
        </is>
      </c>
      <c r="G209" s="3" t="inlineStr"/>
    </row>
    <row r="210">
      <c r="A210" s="3" t="inlineStr">
        <is>
          <t>cloudsql</t>
        </is>
      </c>
      <c r="B210" s="3" t="inlineStr">
        <is>
          <t>retail</t>
        </is>
      </c>
      <c r="C210" s="3" t="inlineStr">
        <is>
          <t>users</t>
        </is>
      </c>
      <c r="D210" s="3" t="inlineStr">
        <is>
          <t>user_id</t>
        </is>
      </c>
      <c r="E210" s="3" t="inlineStr">
        <is>
          <t>TEXT</t>
        </is>
      </c>
      <c r="F210" s="3" t="inlineStr">
        <is>
          <t>REQUIRED</t>
        </is>
      </c>
      <c r="G210" s="3" t="inlineStr">
        <is>
          <t>PK</t>
        </is>
      </c>
    </row>
    <row r="211">
      <c r="A211" s="3" t="inlineStr">
        <is>
          <t>cloudsql</t>
        </is>
      </c>
      <c r="B211" s="3" t="inlineStr">
        <is>
          <t>retail</t>
        </is>
      </c>
      <c r="C211" s="3" t="inlineStr">
        <is>
          <t>users</t>
        </is>
      </c>
      <c r="D211" s="3" t="inlineStr">
        <is>
          <t>nombre</t>
        </is>
      </c>
      <c r="E211" s="3" t="inlineStr">
        <is>
          <t>TEXT</t>
        </is>
      </c>
      <c r="F211" s="3" t="inlineStr">
        <is>
          <t>REQUIRED</t>
        </is>
      </c>
      <c r="G211" s="3" t="inlineStr"/>
    </row>
    <row r="212">
      <c r="A212" s="3" t="inlineStr">
        <is>
          <t>cloudsql</t>
        </is>
      </c>
      <c r="B212" s="3" t="inlineStr">
        <is>
          <t>retail</t>
        </is>
      </c>
      <c r="C212" s="3" t="inlineStr">
        <is>
          <t>users</t>
        </is>
      </c>
      <c r="D212" s="3" t="inlineStr">
        <is>
          <t>created_at</t>
        </is>
      </c>
      <c r="E212" s="3" t="inlineStr">
        <is>
          <t>TIMESTAMP</t>
        </is>
      </c>
      <c r="F212" s="3" t="inlineStr">
        <is>
          <t>NULLABLE</t>
        </is>
      </c>
      <c r="G212" s="3" t="inlineStr"/>
    </row>
    <row r="213">
      <c r="A213" s="3" t="inlineStr">
        <is>
          <t>cloudsql</t>
        </is>
      </c>
      <c r="B213" s="3" t="inlineStr">
        <is>
          <t>retail</t>
        </is>
      </c>
      <c r="C213" s="3" t="inlineStr">
        <is>
          <t>articles</t>
        </is>
      </c>
      <c r="D213" s="3" t="inlineStr">
        <is>
          <t>article_id</t>
        </is>
      </c>
      <c r="E213" s="3" t="inlineStr">
        <is>
          <t>TEXT</t>
        </is>
      </c>
      <c r="F213" s="3" t="inlineStr">
        <is>
          <t>REQUIRED</t>
        </is>
      </c>
      <c r="G213" s="3" t="inlineStr">
        <is>
          <t>PK</t>
        </is>
      </c>
    </row>
    <row r="214">
      <c r="A214" s="3" t="inlineStr">
        <is>
          <t>cloudsql</t>
        </is>
      </c>
      <c r="B214" s="3" t="inlineStr">
        <is>
          <t>retail</t>
        </is>
      </c>
      <c r="C214" s="3" t="inlineStr">
        <is>
          <t>articles</t>
        </is>
      </c>
      <c r="D214" s="3" t="inlineStr">
        <is>
          <t>prod_name</t>
        </is>
      </c>
      <c r="E214" s="3" t="inlineStr">
        <is>
          <t>TEXT</t>
        </is>
      </c>
      <c r="F214" s="3" t="inlineStr">
        <is>
          <t>REQUIRED</t>
        </is>
      </c>
      <c r="G214" s="3" t="inlineStr"/>
    </row>
    <row r="215">
      <c r="A215" s="3" t="inlineStr">
        <is>
          <t>cloudsql</t>
        </is>
      </c>
      <c r="B215" s="3" t="inlineStr">
        <is>
          <t>retail</t>
        </is>
      </c>
      <c r="C215" s="3" t="inlineStr">
        <is>
          <t>articles</t>
        </is>
      </c>
      <c r="D215" s="3" t="inlineStr">
        <is>
          <t>product_type</t>
        </is>
      </c>
      <c r="E215" s="3" t="inlineStr">
        <is>
          <t>TEXT</t>
        </is>
      </c>
      <c r="F215" s="3" t="inlineStr">
        <is>
          <t>NULLABLE</t>
        </is>
      </c>
      <c r="G215" s="3" t="inlineStr"/>
    </row>
    <row r="216">
      <c r="A216" s="3" t="inlineStr">
        <is>
          <t>cloudsql</t>
        </is>
      </c>
      <c r="B216" s="3" t="inlineStr">
        <is>
          <t>retail</t>
        </is>
      </c>
      <c r="C216" s="3" t="inlineStr">
        <is>
          <t>articles</t>
        </is>
      </c>
      <c r="D216" s="3" t="inlineStr">
        <is>
          <t>product_group</t>
        </is>
      </c>
      <c r="E216" s="3" t="inlineStr">
        <is>
          <t>TEXT</t>
        </is>
      </c>
      <c r="F216" s="3" t="inlineStr">
        <is>
          <t>NULLABLE</t>
        </is>
      </c>
      <c r="G216" s="3" t="inlineStr"/>
    </row>
    <row r="217">
      <c r="A217" s="3" t="inlineStr">
        <is>
          <t>cloudsql</t>
        </is>
      </c>
      <c r="B217" s="3" t="inlineStr">
        <is>
          <t>retail</t>
        </is>
      </c>
      <c r="C217" s="3" t="inlineStr">
        <is>
          <t>articles</t>
        </is>
      </c>
      <c r="D217" s="3" t="inlineStr">
        <is>
          <t>index_group</t>
        </is>
      </c>
      <c r="E217" s="3" t="inlineStr">
        <is>
          <t>TEXT</t>
        </is>
      </c>
      <c r="F217" s="3" t="inlineStr">
        <is>
          <t>NULLABLE</t>
        </is>
      </c>
      <c r="G217" s="3" t="inlineStr"/>
    </row>
    <row r="218">
      <c r="A218" s="3" t="inlineStr">
        <is>
          <t>cloudsql</t>
        </is>
      </c>
      <c r="B218" s="3" t="inlineStr">
        <is>
          <t>retail</t>
        </is>
      </c>
      <c r="C218" s="3" t="inlineStr">
        <is>
          <t>articles</t>
        </is>
      </c>
      <c r="D218" s="3" t="inlineStr">
        <is>
          <t>section</t>
        </is>
      </c>
      <c r="E218" s="3" t="inlineStr">
        <is>
          <t>TEXT</t>
        </is>
      </c>
      <c r="F218" s="3" t="inlineStr">
        <is>
          <t>NULLABLE</t>
        </is>
      </c>
      <c r="G218" s="3" t="inlineStr"/>
    </row>
    <row r="219">
      <c r="A219" s="3" t="inlineStr">
        <is>
          <t>cloudsql</t>
        </is>
      </c>
      <c r="B219" s="3" t="inlineStr">
        <is>
          <t>retail</t>
        </is>
      </c>
      <c r="C219" s="3" t="inlineStr">
        <is>
          <t>articles</t>
        </is>
      </c>
      <c r="D219" s="3" t="inlineStr">
        <is>
          <t>colour</t>
        </is>
      </c>
      <c r="E219" s="3" t="inlineStr">
        <is>
          <t>TEXT</t>
        </is>
      </c>
      <c r="F219" s="3" t="inlineStr">
        <is>
          <t>NULLABLE</t>
        </is>
      </c>
      <c r="G219" s="3" t="inlineStr"/>
    </row>
    <row r="220">
      <c r="A220" s="3" t="inlineStr">
        <is>
          <t>cloudsql</t>
        </is>
      </c>
      <c r="B220" s="3" t="inlineStr">
        <is>
          <t>retail</t>
        </is>
      </c>
      <c r="C220" s="3" t="inlineStr">
        <is>
          <t>articles</t>
        </is>
      </c>
      <c r="D220" s="3" t="inlineStr">
        <is>
          <t>detail_desc</t>
        </is>
      </c>
      <c r="E220" s="3" t="inlineStr">
        <is>
          <t>TEXT</t>
        </is>
      </c>
      <c r="F220" s="3" t="inlineStr">
        <is>
          <t>NULLABLE</t>
        </is>
      </c>
      <c r="G220" s="3" t="inlineStr"/>
    </row>
    <row r="221">
      <c r="A221" s="3" t="inlineStr">
        <is>
          <t>cloudsql</t>
        </is>
      </c>
      <c r="B221" s="3" t="inlineStr">
        <is>
          <t>retail</t>
        </is>
      </c>
      <c r="C221" s="3" t="inlineStr">
        <is>
          <t>articles</t>
        </is>
      </c>
      <c r="D221" s="3" t="inlineStr">
        <is>
          <t>price_cents</t>
        </is>
      </c>
      <c r="E221" s="3" t="inlineStr">
        <is>
          <t>INTEGER</t>
        </is>
      </c>
      <c r="F221" s="3" t="inlineStr">
        <is>
          <t>REQUIRED</t>
        </is>
      </c>
      <c r="G221" s="3" t="inlineStr">
        <is>
          <t>Precio demo sintético</t>
        </is>
      </c>
    </row>
    <row r="222">
      <c r="A222" s="3" t="inlineStr">
        <is>
          <t>cloudsql</t>
        </is>
      </c>
      <c r="B222" s="3" t="inlineStr">
        <is>
          <t>retail</t>
        </is>
      </c>
      <c r="C222" s="3" t="inlineStr">
        <is>
          <t>articles</t>
        </is>
      </c>
      <c r="D222" s="3" t="inlineStr">
        <is>
          <t>popularity</t>
        </is>
      </c>
      <c r="E222" s="3" t="inlineStr">
        <is>
          <t>INTEGER</t>
        </is>
      </c>
      <c r="F222" s="3" t="inlineStr">
        <is>
          <t>REQUIRED</t>
        </is>
      </c>
      <c r="G222" s="3" t="inlineStr">
        <is>
          <t>Ventas reales 28 días</t>
        </is>
      </c>
    </row>
    <row r="223">
      <c r="A223" s="3" t="inlineStr">
        <is>
          <t>cloudsql</t>
        </is>
      </c>
      <c r="B223" s="3" t="inlineStr">
        <is>
          <t>retail</t>
        </is>
      </c>
      <c r="C223" s="3" t="inlineStr">
        <is>
          <t>articles</t>
        </is>
      </c>
      <c r="D223" s="3" t="inlineStr">
        <is>
          <t>stock</t>
        </is>
      </c>
      <c r="E223" s="3" t="inlineStr">
        <is>
          <t>INTEGER</t>
        </is>
      </c>
      <c r="F223" s="3" t="inlineStr">
        <is>
          <t>REQUIRED</t>
        </is>
      </c>
      <c r="G223" s="3" t="inlineStr">
        <is>
          <t>Stock simulado</t>
        </is>
      </c>
    </row>
    <row r="224">
      <c r="A224" s="3" t="inlineStr">
        <is>
          <t>cloudsql</t>
        </is>
      </c>
      <c r="B224" s="3" t="inlineStr">
        <is>
          <t>retail</t>
        </is>
      </c>
      <c r="C224" s="3" t="inlineStr">
        <is>
          <t>cart_items</t>
        </is>
      </c>
      <c r="D224" s="3" t="inlineStr">
        <is>
          <t>user_id</t>
        </is>
      </c>
      <c r="E224" s="3" t="inlineStr">
        <is>
          <t>TEXT</t>
        </is>
      </c>
      <c r="F224" s="3" t="inlineStr">
        <is>
          <t>REQUIRED</t>
        </is>
      </c>
      <c r="G224" s="3" t="inlineStr"/>
    </row>
    <row r="225">
      <c r="A225" s="3" t="inlineStr">
        <is>
          <t>cloudsql</t>
        </is>
      </c>
      <c r="B225" s="3" t="inlineStr">
        <is>
          <t>retail</t>
        </is>
      </c>
      <c r="C225" s="3" t="inlineStr">
        <is>
          <t>cart_items</t>
        </is>
      </c>
      <c r="D225" s="3" t="inlineStr">
        <is>
          <t>article_id</t>
        </is>
      </c>
      <c r="E225" s="3" t="inlineStr">
        <is>
          <t>TEXT</t>
        </is>
      </c>
      <c r="F225" s="3" t="inlineStr">
        <is>
          <t>REQUIRED</t>
        </is>
      </c>
      <c r="G225" s="3" t="inlineStr"/>
    </row>
    <row r="226">
      <c r="A226" s="3" t="inlineStr">
        <is>
          <t>cloudsql</t>
        </is>
      </c>
      <c r="B226" s="3" t="inlineStr">
        <is>
          <t>retail</t>
        </is>
      </c>
      <c r="C226" s="3" t="inlineStr">
        <is>
          <t>cart_items</t>
        </is>
      </c>
      <c r="D226" s="3" t="inlineStr">
        <is>
          <t>qty</t>
        </is>
      </c>
      <c r="E226" s="3" t="inlineStr">
        <is>
          <t>INTEGER</t>
        </is>
      </c>
      <c r="F226" s="3" t="inlineStr">
        <is>
          <t>REQUIRED</t>
        </is>
      </c>
      <c r="G226" s="3" t="inlineStr">
        <is>
          <t>1 a 10</t>
        </is>
      </c>
    </row>
    <row r="227">
      <c r="A227" s="3" t="inlineStr">
        <is>
          <t>cloudsql</t>
        </is>
      </c>
      <c r="B227" s="3" t="inlineStr">
        <is>
          <t>retail</t>
        </is>
      </c>
      <c r="C227" s="3" t="inlineStr">
        <is>
          <t>orders</t>
        </is>
      </c>
      <c r="D227" s="3" t="inlineStr">
        <is>
          <t>order_id</t>
        </is>
      </c>
      <c r="E227" s="3" t="inlineStr">
        <is>
          <t>TEXT</t>
        </is>
      </c>
      <c r="F227" s="3" t="inlineStr">
        <is>
          <t>REQUIRED</t>
        </is>
      </c>
      <c r="G227" s="3" t="inlineStr">
        <is>
          <t>PK</t>
        </is>
      </c>
    </row>
    <row r="228">
      <c r="A228" s="3" t="inlineStr">
        <is>
          <t>cloudsql</t>
        </is>
      </c>
      <c r="B228" s="3" t="inlineStr">
        <is>
          <t>retail</t>
        </is>
      </c>
      <c r="C228" s="3" t="inlineStr">
        <is>
          <t>orders</t>
        </is>
      </c>
      <c r="D228" s="3" t="inlineStr">
        <is>
          <t>user_id</t>
        </is>
      </c>
      <c r="E228" s="3" t="inlineStr">
        <is>
          <t>TEXT</t>
        </is>
      </c>
      <c r="F228" s="3" t="inlineStr">
        <is>
          <t>REQUIRED</t>
        </is>
      </c>
      <c r="G228" s="3" t="inlineStr"/>
    </row>
    <row r="229">
      <c r="A229" s="3" t="inlineStr">
        <is>
          <t>cloudsql</t>
        </is>
      </c>
      <c r="B229" s="3" t="inlineStr">
        <is>
          <t>retail</t>
        </is>
      </c>
      <c r="C229" s="3" t="inlineStr">
        <is>
          <t>orders</t>
        </is>
      </c>
      <c r="D229" s="3" t="inlineStr">
        <is>
          <t>total_cents</t>
        </is>
      </c>
      <c r="E229" s="3" t="inlineStr">
        <is>
          <t>INTEGER</t>
        </is>
      </c>
      <c r="F229" s="3" t="inlineStr">
        <is>
          <t>REQUIRED</t>
        </is>
      </c>
      <c r="G229" s="3" t="inlineStr"/>
    </row>
    <row r="230">
      <c r="A230" s="3" t="inlineStr">
        <is>
          <t>cloudsql</t>
        </is>
      </c>
      <c r="B230" s="3" t="inlineStr">
        <is>
          <t>retail</t>
        </is>
      </c>
      <c r="C230" s="3" t="inlineStr">
        <is>
          <t>orders</t>
        </is>
      </c>
      <c r="D230" s="3" t="inlineStr">
        <is>
          <t>idempotency_key</t>
        </is>
      </c>
      <c r="E230" s="3" t="inlineStr">
        <is>
          <t>TEXT</t>
        </is>
      </c>
      <c r="F230" s="3" t="inlineStr">
        <is>
          <t>REQUIRED</t>
        </is>
      </c>
      <c r="G230" s="3" t="inlineStr">
        <is>
          <t>Única: evita doble cobro</t>
        </is>
      </c>
    </row>
    <row r="231">
      <c r="A231" s="3" t="inlineStr">
        <is>
          <t>cloudsql</t>
        </is>
      </c>
      <c r="B231" s="3" t="inlineStr">
        <is>
          <t>retail</t>
        </is>
      </c>
      <c r="C231" s="3" t="inlineStr">
        <is>
          <t>orders</t>
        </is>
      </c>
      <c r="D231" s="3" t="inlineStr">
        <is>
          <t>created_at</t>
        </is>
      </c>
      <c r="E231" s="3" t="inlineStr">
        <is>
          <t>TIMESTAMP</t>
        </is>
      </c>
      <c r="F231" s="3" t="inlineStr">
        <is>
          <t>NULLABLE</t>
        </is>
      </c>
      <c r="G231" s="3" t="inlineStr"/>
    </row>
    <row r="232">
      <c r="A232" s="3" t="inlineStr">
        <is>
          <t>cloudsql</t>
        </is>
      </c>
      <c r="B232" s="3" t="inlineStr">
        <is>
          <t>retail</t>
        </is>
      </c>
      <c r="C232" s="3" t="inlineStr">
        <is>
          <t>order_lines</t>
        </is>
      </c>
      <c r="D232" s="3" t="inlineStr">
        <is>
          <t>order_id</t>
        </is>
      </c>
      <c r="E232" s="3" t="inlineStr">
        <is>
          <t>TEXT</t>
        </is>
      </c>
      <c r="F232" s="3" t="inlineStr">
        <is>
          <t>REQUIRED</t>
        </is>
      </c>
      <c r="G232" s="3" t="inlineStr"/>
    </row>
    <row r="233">
      <c r="A233" s="3" t="inlineStr">
        <is>
          <t>cloudsql</t>
        </is>
      </c>
      <c r="B233" s="3" t="inlineStr">
        <is>
          <t>retail</t>
        </is>
      </c>
      <c r="C233" s="3" t="inlineStr">
        <is>
          <t>order_lines</t>
        </is>
      </c>
      <c r="D233" s="3" t="inlineStr">
        <is>
          <t>article_id</t>
        </is>
      </c>
      <c r="E233" s="3" t="inlineStr">
        <is>
          <t>TEXT</t>
        </is>
      </c>
      <c r="F233" s="3" t="inlineStr">
        <is>
          <t>REQUIRED</t>
        </is>
      </c>
      <c r="G233" s="3" t="inlineStr"/>
    </row>
    <row r="234">
      <c r="A234" s="3" t="inlineStr">
        <is>
          <t>cloudsql</t>
        </is>
      </c>
      <c r="B234" s="3" t="inlineStr">
        <is>
          <t>retail</t>
        </is>
      </c>
      <c r="C234" s="3" t="inlineStr">
        <is>
          <t>order_lines</t>
        </is>
      </c>
      <c r="D234" s="3" t="inlineStr">
        <is>
          <t>qty</t>
        </is>
      </c>
      <c r="E234" s="3" t="inlineStr">
        <is>
          <t>INTEGER</t>
        </is>
      </c>
      <c r="F234" s="3" t="inlineStr">
        <is>
          <t>REQUIRED</t>
        </is>
      </c>
      <c r="G234" s="3" t="inlineStr"/>
    </row>
    <row r="235">
      <c r="A235" s="3" t="inlineStr">
        <is>
          <t>cloudsql</t>
        </is>
      </c>
      <c r="B235" s="3" t="inlineStr">
        <is>
          <t>retail</t>
        </is>
      </c>
      <c r="C235" s="3" t="inlineStr">
        <is>
          <t>order_lines</t>
        </is>
      </c>
      <c r="D235" s="3" t="inlineStr">
        <is>
          <t>price_cents</t>
        </is>
      </c>
      <c r="E235" s="3" t="inlineStr">
        <is>
          <t>INTEGER</t>
        </is>
      </c>
      <c r="F235" s="3" t="inlineStr">
        <is>
          <t>REQUIRED</t>
        </is>
      </c>
      <c r="G235" s="3" t="inlineStr"/>
    </row>
    <row r="236">
      <c r="A236" s="3" t="inlineStr">
        <is>
          <t>cloudsql</t>
        </is>
      </c>
      <c r="B236" s="3" t="inlineStr">
        <is>
          <t>retail</t>
        </is>
      </c>
      <c r="C236" s="3" t="inlineStr">
        <is>
          <t>wallet_ledger</t>
        </is>
      </c>
      <c r="D236" s="3" t="inlineStr">
        <is>
          <t>entry_id</t>
        </is>
      </c>
      <c r="E236" s="3" t="inlineStr">
        <is>
          <t>TEXT</t>
        </is>
      </c>
      <c r="F236" s="3" t="inlineStr">
        <is>
          <t>REQUIRED</t>
        </is>
      </c>
      <c r="G236" s="3" t="inlineStr">
        <is>
          <t>PK</t>
        </is>
      </c>
    </row>
    <row r="237">
      <c r="A237" s="3" t="inlineStr">
        <is>
          <t>cloudsql</t>
        </is>
      </c>
      <c r="B237" s="3" t="inlineStr">
        <is>
          <t>retail</t>
        </is>
      </c>
      <c r="C237" s="3" t="inlineStr">
        <is>
          <t>wallet_ledger</t>
        </is>
      </c>
      <c r="D237" s="3" t="inlineStr">
        <is>
          <t>user_id</t>
        </is>
      </c>
      <c r="E237" s="3" t="inlineStr">
        <is>
          <t>TEXT</t>
        </is>
      </c>
      <c r="F237" s="3" t="inlineStr">
        <is>
          <t>REQUIRED</t>
        </is>
      </c>
      <c r="G237" s="3" t="inlineStr"/>
    </row>
    <row r="238">
      <c r="A238" s="3" t="inlineStr">
        <is>
          <t>cloudsql</t>
        </is>
      </c>
      <c r="B238" s="3" t="inlineStr">
        <is>
          <t>retail</t>
        </is>
      </c>
      <c r="C238" s="3" t="inlineStr">
        <is>
          <t>wallet_ledger</t>
        </is>
      </c>
      <c r="D238" s="3" t="inlineStr">
        <is>
          <t>amount_cents</t>
        </is>
      </c>
      <c r="E238" s="3" t="inlineStr">
        <is>
          <t>INTEGER</t>
        </is>
      </c>
      <c r="F238" s="3" t="inlineStr">
        <is>
          <t>REQUIRED</t>
        </is>
      </c>
      <c r="G238" s="3" t="inlineStr"/>
    </row>
    <row r="239">
      <c r="A239" s="3" t="inlineStr">
        <is>
          <t>cloudsql</t>
        </is>
      </c>
      <c r="B239" s="3" t="inlineStr">
        <is>
          <t>retail</t>
        </is>
      </c>
      <c r="C239" s="3" t="inlineStr">
        <is>
          <t>wallet_ledger</t>
        </is>
      </c>
      <c r="D239" s="3" t="inlineStr">
        <is>
          <t>kind</t>
        </is>
      </c>
      <c r="E239" s="3" t="inlineStr">
        <is>
          <t>TEXT</t>
        </is>
      </c>
      <c r="F239" s="3" t="inlineStr">
        <is>
          <t>REQUIRED</t>
        </is>
      </c>
      <c r="G239" s="3" t="inlineStr">
        <is>
          <t>demo_topup | purchase</t>
        </is>
      </c>
    </row>
    <row r="240">
      <c r="A240" s="3" t="inlineStr">
        <is>
          <t>cloudsql</t>
        </is>
      </c>
      <c r="B240" s="3" t="inlineStr">
        <is>
          <t>retail</t>
        </is>
      </c>
      <c r="C240" s="3" t="inlineStr">
        <is>
          <t>wallet_ledger</t>
        </is>
      </c>
      <c r="D240" s="3" t="inlineStr">
        <is>
          <t>ref</t>
        </is>
      </c>
      <c r="E240" s="3" t="inlineStr">
        <is>
          <t>TEXT</t>
        </is>
      </c>
      <c r="F240" s="3" t="inlineStr">
        <is>
          <t>NULLABLE</t>
        </is>
      </c>
      <c r="G240" s="3" t="inlineStr"/>
    </row>
    <row r="241">
      <c r="A241" s="3" t="inlineStr">
        <is>
          <t>cloudsql</t>
        </is>
      </c>
      <c r="B241" s="3" t="inlineStr">
        <is>
          <t>retail</t>
        </is>
      </c>
      <c r="C241" s="3" t="inlineStr">
        <is>
          <t>wallet_ledger</t>
        </is>
      </c>
      <c r="D241" s="3" t="inlineStr">
        <is>
          <t>created_at</t>
        </is>
      </c>
      <c r="E241" s="3" t="inlineStr">
        <is>
          <t>TIMESTAMP</t>
        </is>
      </c>
      <c r="F241" s="3" t="inlineStr">
        <is>
          <t>NULLABLE</t>
        </is>
      </c>
      <c r="G241" s="3" t="inlineStr"/>
    </row>
  </sheetData>
  <autoFilter ref="A1:G2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26" customWidth="1" min="3" max="3"/>
    <col width="32" customWidth="1" min="4" max="4"/>
    <col width="50" customWidth="1" min="5" max="5"/>
  </cols>
  <sheetData>
    <row r="1">
      <c r="A1" s="1" t="inlineStr">
        <is>
          <t>nombre</t>
        </is>
      </c>
      <c r="B1" s="1" t="inlineStr">
        <is>
          <t>contenido</t>
        </is>
      </c>
      <c r="C1" s="1" t="inlineStr">
        <is>
          <t>generado_por</t>
        </is>
      </c>
      <c r="D1" s="1" t="inlineStr">
        <is>
          <t>consumido_por</t>
        </is>
      </c>
      <c r="E1" s="1" t="inlineStr">
        <is>
          <t>nota</t>
        </is>
      </c>
    </row>
    <row r="2">
      <c r="A2" s="3" t="inlineStr">
        <is>
          <t>retail-db-url</t>
        </is>
      </c>
      <c r="B2" s="3" t="inlineStr">
        <is>
          <t>URL de conexión a Cloud SQL con contraseña aleatoria</t>
        </is>
      </c>
      <c r="C2" s="3" t="inlineStr">
        <is>
          <t>Terraform (random_password)</t>
        </is>
      </c>
      <c r="D2" s="3" t="inlineStr">
        <is>
          <t>Cloud Run API y job de catálogo</t>
        </is>
      </c>
      <c r="E2" s="3" t="inlineStr">
        <is>
          <t>Nunca se escribe en el Excel ni en Git</t>
        </is>
      </c>
    </row>
    <row r="3">
      <c r="A3" s="3" t="inlineStr">
        <is>
          <t>retail-admin-token</t>
        </is>
      </c>
      <c r="B3" s="3" t="inlineStr">
        <is>
          <t>Token para recargas demo (X-Admin-Token)</t>
        </is>
      </c>
      <c r="C3" s="3" t="inlineStr">
        <is>
          <t>Terraform (random_password)</t>
        </is>
      </c>
      <c r="D3" s="3" t="inlineStr">
        <is>
          <t>API /wallet/demo-topups</t>
        </is>
      </c>
      <c r="E3" s="3" t="inlineStr">
        <is>
          <t>Ver con: gcloud secrets versions access latest --secret=retail-admin-token</t>
        </is>
      </c>
    </row>
  </sheetData>
  <autoFilter ref="A1:E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recurso</t>
        </is>
      </c>
      <c r="B1" s="1" t="inlineStr">
        <is>
          <t>nombre resultante</t>
        </is>
      </c>
    </row>
    <row r="2">
      <c r="A2" s="3" t="inlineStr">
        <is>
          <t>Proyecto</t>
        </is>
      </c>
      <c r="B2" s="6">
        <f>INDEX(Parametros!$B:$B,MATCH("project_id",Parametros!$A:$A,0))</f>
        <v/>
      </c>
    </row>
    <row r="3">
      <c r="A3" s="3" t="inlineStr">
        <is>
          <t>Región</t>
        </is>
      </c>
      <c r="B3" s="6">
        <f>INDEX(Parametros!$B:$B,MATCH("region",Parametros!$A:$A,0))</f>
        <v/>
      </c>
    </row>
    <row r="4">
      <c r="A4" s="3" t="inlineStr">
        <is>
          <t>Bucket Bronze</t>
        </is>
      </c>
      <c r="B4" s="6">
        <f>INDEX(Parametros!$B:$B,MATCH("project_id",Parametros!$A:$A,0))&amp;"-"&amp;INDEX(Parametros!$B:$B,MATCH("bucket_raw_suffix",Parametros!$A:$A,0))</f>
        <v/>
      </c>
    </row>
    <row r="5">
      <c r="A5" s="3" t="inlineStr">
        <is>
          <t>Bucket Silver/Gold</t>
        </is>
      </c>
      <c r="B5" s="6">
        <f>INDEX(Parametros!$B:$B,MATCH("project_id",Parametros!$A:$A,0))&amp;"-"&amp;INDEX(Parametros!$B:$B,MATCH("bucket_lake_suffix",Parametros!$A:$A,0))</f>
        <v/>
      </c>
    </row>
    <row r="6">
      <c r="A6" s="3" t="inlineStr">
        <is>
          <t>Bucket estado Terraform</t>
        </is>
      </c>
      <c r="B6" s="6">
        <f>INDEX(Parametros!$B:$B,MATCH("project_id",Parametros!$A:$A,0))&amp;"-"&amp;INDEX(Parametros!$B:$B,MATCH("bucket_tfstate_suffix",Parametros!$A:$A,0))</f>
        <v/>
      </c>
    </row>
    <row r="7">
      <c r="A7" s="3" t="inlineStr">
        <is>
          <t>Prefijo estado Terraform</t>
        </is>
      </c>
      <c r="B7" s="6">
        <f>INDEX(Parametros!$B:$B,MATCH("tfstate_prefix",Parametros!$A:$A,0))&amp;"/"&amp;INDEX(Parametros!$B:$B,MATCH("env",Parametros!$A:$A,0))</f>
        <v/>
      </c>
    </row>
    <row r="8">
      <c r="A8" s="3" t="inlineStr">
        <is>
          <t>Instancia Cloud SQL</t>
        </is>
      </c>
      <c r="B8" s="6">
        <f>INDEX(Parametros!$B:$B,MATCH("cloudsql_instance",Parametros!$A:$A,0))&amp;"-"&amp;INDEX(Parametros!$B:$B,MATCH("env",Parametros!$A:$A,0))&amp;"-&lt;aleatorio&gt;"</f>
        <v/>
      </c>
    </row>
    <row r="9">
      <c r="A9" s="3" t="inlineStr">
        <is>
          <t>Imagen API</t>
        </is>
      </c>
      <c r="B9" s="6">
        <f>INDEX(Parametros!$B:$B,MATCH("region",Parametros!$A:$A,0))&amp;"-docker.pkg.dev/"&amp;INDEX(Parametros!$B:$B,MATCH("project_id",Parametros!$A:$A,0))&amp;"/"&amp;INDEX(Parametros!$B:$B,MATCH("artifact_repo",Parametros!$A:$A,0))&amp;"/"&amp;INDEX(Parametros!$B:$B,MATCH("cloudrun_service",Parametros!$A:$A,0))&amp;":&lt;fecha&gt;"</f>
        <v/>
      </c>
    </row>
    <row r="10">
      <c r="A10" s="3" t="inlineStr">
        <is>
          <t>Cuenta API</t>
        </is>
      </c>
      <c r="B10" s="6">
        <f>"sa-retail-api@"&amp;INDEX(Parametros!$B:$B,MATCH("project_id",Parametros!$A:$A,0))&amp;".iam.gserviceaccount.com"</f>
        <v/>
      </c>
    </row>
    <row r="11">
      <c r="A11" s="3" t="inlineStr">
        <is>
          <t>Cuenta deployer (GitHub)</t>
        </is>
      </c>
      <c r="B11" s="6">
        <f>"sa-retail-deployer@"&amp;INDEX(Parametros!$B:$B,MATCH("project_id",Parametros!$A:$A,0))&amp;".iam.gserviceaccount.com"</f>
        <v/>
      </c>
    </row>
    <row r="12">
      <c r="A12" s="3" t="inlineStr">
        <is>
          <t>Suscripción Dataflow</t>
        </is>
      </c>
      <c r="B12" s="6">
        <f>"projects/"&amp;INDEX(Parametros!$B:$B,MATCH("project_id",Parametros!$A:$A,0))&amp;"/subscriptions/"&amp;INDEX(Parametros!$B:$B,MATCH("pubsub_dataflow_subscription",Parametros!$A:$A,0))</f>
        <v/>
      </c>
    </row>
    <row r="13">
      <c r="A13" s="3" t="inlineStr">
        <is>
          <t>Workload Identity Pool</t>
        </is>
      </c>
      <c r="B13" s="6">
        <f>INDEX(Parametros!$B:$B,MATCH("wif_pool",Parametros!$A:$A,0))&amp;"-"&amp;INDEX(Parametros!$B:$B,MATCH("env",Parametros!$A:$A,0))</f>
        <v/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2026-10-23T05:17:41Z</dcterms:created>
  <dcterms:modified xmlns:dcterms="http://purl.org/dc/terms/" xmlns:xsi="http://www.w3.org/2001/XMLSchema-instance" xsi:type="dcterms:W3CDTF">2026-10-23T05:17:42Z</dcterms:modified>
</cp:coreProperties>
</file>