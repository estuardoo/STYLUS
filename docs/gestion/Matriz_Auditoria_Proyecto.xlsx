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Matriz" sheetId="2" state="visible" r:id="rId4"/>
    <sheet name="Perfiles" sheetId="3" state="visible" r:id="rId5"/>
    <sheet name="Despliegue" sheetId="4" state="visible" r:id="rId6"/>
  </sheets>
  <definedNames>
    <definedName function="false" hidden="true" localSheetId="3" name="_xlnm._FilterDatabase" vbProcedure="false">Despliegue!$A$1:$G$21</definedName>
    <definedName function="false" hidden="true" localSheetId="1" name="_xlnm._FilterDatabase" vbProcedure="false">Matriz!$A$1:$P$52</definedName>
    <definedName function="false" hidden="true" localSheetId="2" name="_xlnm._FilterDatabase" vbProcedure="false">Perfiles!$A$1:$H$5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<sst xmlns="http://schemas.openxmlformats.org/spreadsheetml/2006/main" count="709" uniqueCount="415">
  <si>
    <t xml:space="preserve">Paso</t>
  </si>
  <si>
    <t xml:space="preserve">Entrega</t>
  </si>
  <si>
    <t xml:space="preserve">Fecha</t>
  </si>
  <si>
    <t xml:space="preserve">Tareas</t>
  </si>
  <si>
    <t xml:space="preserve">Hechas</t>
  </si>
  <si>
    <t xml:space="preserve">Listas p/desplegar</t>
  </si>
  <si>
    <t xml:space="preserve">Pendientes</t>
  </si>
  <si>
    <t xml:space="preserve">% hecho</t>
  </si>
  <si>
    <t xml:space="preserve">% código listo</t>
  </si>
  <si>
    <t xml:space="preserve">Examen + P1: diseño, costos, ingesta/storage</t>
  </si>
  <si>
    <t xml:space="preserve">24-oct-2026</t>
  </si>
  <si>
    <t xml:space="preserve">P2: pipelines batch + streaming, modelado</t>
  </si>
  <si>
    <t xml:space="preserve">07-nov-2026</t>
  </si>
  <si>
    <t xml:space="preserve">P3: API, asistente, tableros, demo, sustentación</t>
  </si>
  <si>
    <t xml:space="preserve">20-nov-2026</t>
  </si>
  <si>
    <t xml:space="preserve">TOTAL</t>
  </si>
  <si>
    <t xml:space="preserve">Leyenda</t>
  </si>
  <si>
    <t xml:space="preserve">Paso 1 = Entrega 1 (24-oct) · Paso 2 = Entrega 2 (07-nov) · Paso 3 = repositorio 20-nov y sustentación 21-nov.</t>
  </si>
  <si>
    <t xml:space="preserve">Hecho = terminado con evidencia. Listo para desplegar = código probado localmente; falta ejecutarlo en GCP.</t>
  </si>
  <si>
    <t xml:space="preserve">Estado se elige en la hoja Matriz (lista desplegable); '¿Hecho?', perfiles y resumen se recalculan solos.</t>
  </si>
  <si>
    <t xml:space="preserve">Despliegue: orden de comandos. Parámetros, nombres, tablas, columnas, usuarios y permisos: config/control_plataforma.json (editable con `python ops.py panel`).</t>
  </si>
  <si>
    <t xml:space="preserve">ID</t>
  </si>
  <si>
    <t xml:space="preserve">Orden</t>
  </si>
  <si>
    <t xml:space="preserve">Fecha límite</t>
  </si>
  <si>
    <t xml:space="preserve">Fase</t>
  </si>
  <si>
    <t xml:space="preserve">Nombre de la tarea</t>
  </si>
  <si>
    <t xml:space="preserve">Acción / tarea</t>
  </si>
  <si>
    <t xml:space="preserve">Entregable (ruta)</t>
  </si>
  <si>
    <t xml:space="preserve">Comando</t>
  </si>
  <si>
    <t xml:space="preserve">Depende de</t>
  </si>
  <si>
    <t xml:space="preserve">Responsable</t>
  </si>
  <si>
    <t xml:space="preserve">Perfil</t>
  </si>
  <si>
    <t xml:space="preserve">Apoyo</t>
  </si>
  <si>
    <t xml:space="preserve">Estado</t>
  </si>
  <si>
    <t xml:space="preserve">¿Hecho?</t>
  </si>
  <si>
    <t xml:space="preserve">Evidencia / observación</t>
  </si>
  <si>
    <t xml:space="preserve">P1-01</t>
  </si>
  <si>
    <t xml:space="preserve">Datos</t>
  </si>
  <si>
    <t xml:space="preserve">Auditoría de datos H&amp;M</t>
  </si>
  <si>
    <t xml:space="preserve">Perfilar filas, nulos, fechas, cardinalidad y cobertura</t>
  </si>
  <si>
    <t xml:space="preserve">Word §4</t>
  </si>
  <si>
    <t xml:space="preserve">Nicole Arenas</t>
  </si>
  <si>
    <t xml:space="preserve">Estuardo Oliver</t>
  </si>
  <si>
    <t xml:space="preserve">Hecho</t>
  </si>
  <si>
    <t xml:space="preserve">31.8M líneas, 9.08M pedidos, 1.37M clientes, 105,542 artículos</t>
  </si>
  <si>
    <t xml:space="preserve">P1-02</t>
  </si>
  <si>
    <t xml:space="preserve">Gestión</t>
  </si>
  <si>
    <t xml:space="preserve">Ordenar carpeta y repositorio</t>
  </si>
  <si>
    <t xml:space="preserve">Estructura por capas; Amazon/zip archivados; secretos fuera</t>
  </si>
  <si>
    <t xml:space="preserve">README.md</t>
  </si>
  <si>
    <t xml:space="preserve">Winston Quispe</t>
  </si>
  <si>
    <t xml:space="preserve">data/_archive y .secrets/ fuera de Git</t>
  </si>
  <si>
    <t xml:space="preserve">P1-03</t>
  </si>
  <si>
    <t xml:space="preserve">Seguridad</t>
  </si>
  <si>
    <t xml:space="preserve">Proteger datos y secretos</t>
  </si>
  <si>
    <t xml:space="preserve">.gitignore + regla CI que bloquea CSV/ZIP/tfstate/credenciales</t>
  </si>
  <si>
    <t xml:space="preserve">.gitignore, .github/workflows/ci.yml</t>
  </si>
  <si>
    <t xml:space="preserve">Regla 'Sin datos ni secretos versionados'</t>
  </si>
  <si>
    <t xml:space="preserve">P1-04</t>
  </si>
  <si>
    <t xml:space="preserve">Diseño</t>
  </si>
  <si>
    <t xml:space="preserve">Justificar stack GCP</t>
  </si>
  <si>
    <t xml:space="preserve">Decisión por capa con alternativa descartada</t>
  </si>
  <si>
    <t xml:space="preserve">Word §5</t>
  </si>
  <si>
    <t xml:space="preserve">Tabla de ADR</t>
  </si>
  <si>
    <t xml:space="preserve">P1-05</t>
  </si>
  <si>
    <t xml:space="preserve">Diagrama end-to-end</t>
  </si>
  <si>
    <t xml:space="preserve">Fuentes, ingesta, almacenamiento, cómputo, exposición</t>
  </si>
  <si>
    <t xml:space="preserve">docs/architecture/arquitectura.png</t>
  </si>
  <si>
    <t xml:space="preserve">dot -Tpng docs/architecture/arquitectura_vertical.dot -o docs/architecture/arquitectura.png</t>
  </si>
  <si>
    <t xml:space="preserve">Gianmarco Mejia</t>
  </si>
  <si>
    <t xml:space="preserve">Graphviz regenerable</t>
  </si>
  <si>
    <t xml:space="preserve">P1-06</t>
  </si>
  <si>
    <t xml:space="preserve">Integración multifuente</t>
  </si>
  <si>
    <t xml:space="preserve">Batch H&amp;M + replay 2026; doble reloj source_t_dat/event_time</t>
  </si>
  <si>
    <t xml:space="preserve">Word §6</t>
  </si>
  <si>
    <t xml:space="preserve">P1-07</t>
  </si>
  <si>
    <t xml:space="preserve">Ingesta y almacenamiento</t>
  </si>
  <si>
    <t xml:space="preserve">GCS medallion + BigQuery + Cloud SQL; formatos y particiones</t>
  </si>
  <si>
    <t xml:space="preserve">Word §7</t>
  </si>
  <si>
    <t xml:space="preserve">P1-08</t>
  </si>
  <si>
    <t xml:space="preserve">Escalabilidad Black Friday</t>
  </si>
  <si>
    <t xml:space="preserve">Autoescalado, desacople, degradación controlada</t>
  </si>
  <si>
    <t xml:space="preserve">Word §8</t>
  </si>
  <si>
    <t xml:space="preserve">Escenario 5x en calculadora</t>
  </si>
  <si>
    <t xml:space="preserve">P1-09</t>
  </si>
  <si>
    <t xml:space="preserve">Costos</t>
  </si>
  <si>
    <t xml:space="preserve">Calculadora y costo por pedido</t>
  </si>
  <si>
    <t xml:space="preserve">YAML -&gt; Excel con fórmulas; 4 escenarios; año 1</t>
  </si>
  <si>
    <t xml:space="preserve">docs/entrega1/Calculadora_Costos_GCP.xlsx</t>
  </si>
  <si>
    <t xml:space="preserve">python cost/estimate_costs.py</t>
  </si>
  <si>
    <t xml:space="preserve">Año 1 USD 5,482; USD 0.00098/pedido (Gemini 3.1 Flash-Lite)</t>
  </si>
  <si>
    <t xml:space="preserve">P1-10</t>
  </si>
  <si>
    <t xml:space="preserve">Automatizar control de costos</t>
  </si>
  <si>
    <t xml:space="preserve">Precios vía API, budget con alertas, costo real por pedido</t>
  </si>
  <si>
    <t xml:space="preserve">cost/, infra/terraform/main.tf</t>
  </si>
  <si>
    <t xml:space="preserve">python cost/estimate_costs.py --refresh-prices</t>
  </si>
  <si>
    <t xml:space="preserve">P2-01</t>
  </si>
  <si>
    <t xml:space="preserve">Listo para desplegar</t>
  </si>
  <si>
    <t xml:space="preserve">Probado local; activar billing export en consola</t>
  </si>
  <si>
    <t xml:space="preserve">P1-11</t>
  </si>
  <si>
    <t xml:space="preserve">Resiliencia</t>
  </si>
  <si>
    <t xml:space="preserve">DRP / HA</t>
  </si>
  <si>
    <t xml:space="preserve">RPO/RTO por componente y runbook</t>
  </si>
  <si>
    <t xml:space="preserve">Word §10, docs/runbooks/drp.md</t>
  </si>
  <si>
    <t xml:space="preserve">P1-12</t>
  </si>
  <si>
    <t xml:space="preserve">BI</t>
  </si>
  <si>
    <t xml:space="preserve">Catálogo de KPIs</t>
  </si>
  <si>
    <t xml:space="preserve">Metas de datos, streaming, modelo, API, negocio, costo</t>
  </si>
  <si>
    <t xml:space="preserve">Word §11</t>
  </si>
  <si>
    <t xml:space="preserve">P1-13</t>
  </si>
  <si>
    <t xml:space="preserve">Ingesta Bronze con manifiesto</t>
  </si>
  <si>
    <t xml:space="preserve">SHA-256 y filas por archivo; rsync idempotente</t>
  </si>
  <si>
    <t xml:space="preserve">ingestion/batch/upload_raw.py</t>
  </si>
  <si>
    <t xml:space="preserve">python ingestion/batch/upload_raw.py --manifest-only</t>
  </si>
  <si>
    <t xml:space="preserve">Manifiesto real en data/manifests/</t>
  </si>
  <si>
    <t xml:space="preserve">P1-14</t>
  </si>
  <si>
    <t xml:space="preserve">Infra</t>
  </si>
  <si>
    <t xml:space="preserve">Terraform base</t>
  </si>
  <si>
    <t xml:space="preserve">Buckets, BigQuery, Pub/Sub+DLQ, IAM, Artifact Registry, budget (valores desde el JSON de control)</t>
  </si>
  <si>
    <t xml:space="preserve">infra/terraform/</t>
  </si>
  <si>
    <t xml:space="preserve">python ops.py plan</t>
  </si>
  <si>
    <t xml:space="preserve">P1-20</t>
  </si>
  <si>
    <t xml:space="preserve">validate OK; tipos de variables probados con el JSON generado</t>
  </si>
  <si>
    <t xml:space="preserve">P1-15</t>
  </si>
  <si>
    <t xml:space="preserve">Documento Word Entrega 1</t>
  </si>
  <si>
    <t xml:space="preserve">Examen + P1 profesional</t>
  </si>
  <si>
    <t xml:space="preserve">docs/entrega1/*.docx (+PDF)</t>
  </si>
  <si>
    <t xml:space="preserve">P1-01..P1-14</t>
  </si>
  <si>
    <t xml:space="preserve">Todo el equipo</t>
  </si>
  <si>
    <t xml:space="preserve">P1-16</t>
  </si>
  <si>
    <t xml:space="preserve">Matriz de auditoría y roles</t>
  </si>
  <si>
    <t xml:space="preserve">Tareas, pasos, despliegue y variables</t>
  </si>
  <si>
    <t xml:space="preserve">docs/gestion/Matriz_Auditoria_Proyecto.xlsx</t>
  </si>
  <si>
    <t xml:space="preserve">python docs/_generadores/build_matriz.py</t>
  </si>
  <si>
    <t xml:space="preserve">Este archivo</t>
  </si>
  <si>
    <t xml:space="preserve">P1-17</t>
  </si>
  <si>
    <t xml:space="preserve">Crear proyecto GCP</t>
  </si>
  <si>
    <t xml:space="preserve">Proyecto, facturación/créditos, accesos IAM del equipo</t>
  </si>
  <si>
    <t xml:space="preserve">Proyecto GCP</t>
  </si>
  <si>
    <t xml:space="preserve">ver hoja Despliegue D01-D04</t>
  </si>
  <si>
    <t xml:space="preserve">Pendiente</t>
  </si>
  <si>
    <t xml:space="preserve">P1-18</t>
  </si>
  <si>
    <t xml:space="preserve">Publicar repositorio GitHub</t>
  </si>
  <si>
    <t xml:space="preserve">Crear repo privado, push y CI en verde</t>
  </si>
  <si>
    <t xml:space="preserve">URL del repo</t>
  </si>
  <si>
    <t xml:space="preserve">git push -u origin main</t>
  </si>
  <si>
    <t xml:space="preserve">Git inicializado localmente</t>
  </si>
  <si>
    <t xml:space="preserve">JSON de control de la plataforma</t>
  </si>
  <si>
    <t xml:space="preserve">Parámetros, APIs, cuentas, permisos, usuarios, datasets, tablas, columnas y secretos en un solo JSON validado, editable con el panel web</t>
  </si>
  <si>
    <t xml:space="preserve">config/control_plataforma.json</t>
  </si>
  <si>
    <t xml:space="preserve">python ops.py config</t>
  </si>
  <si>
    <t xml:space="preserve">30 tablas, 240 columnas, 28 permisos, 6 usuarios app; CI verifica generados</t>
  </si>
  <si>
    <t xml:space="preserve">P1-21</t>
  </si>
  <si>
    <t xml:space="preserve">Orquestador de despliegue</t>
  </si>
  <si>
    <t xml:space="preserve">Un comando por paso, multiplataforma, con log matricial de tiempos</t>
  </si>
  <si>
    <t xml:space="preserve">ops.py</t>
  </si>
  <si>
    <t xml:space="preserve">python ops.py todo</t>
  </si>
  <si>
    <t xml:space="preserve">config/estado/local probados; comandos de nube pendientes de GCP</t>
  </si>
  <si>
    <t xml:space="preserve">P1-19</t>
  </si>
  <si>
    <t xml:space="preserve">Revisión y envío Entrega 1</t>
  </si>
  <si>
    <t xml:space="preserve">Revisión cruzada del Word y envío antes de 23:59</t>
  </si>
  <si>
    <t xml:space="preserve">Word enviado</t>
  </si>
  <si>
    <t xml:space="preserve">Desplegar infraestructura dev</t>
  </si>
  <si>
    <t xml:space="preserve">Bootstrap de estado, plan y apply</t>
  </si>
  <si>
    <t xml:space="preserve">Recursos en GCP</t>
  </si>
  <si>
    <t xml:space="preserve">python ops.py bootstrap; python ops.py apply</t>
  </si>
  <si>
    <t xml:space="preserve">P2-02</t>
  </si>
  <si>
    <t xml:space="preserve">Cargar Bronze (GCS + BigQuery)</t>
  </si>
  <si>
    <t xml:space="preserve">CSV primero, imágenes después; tablas externas y nativa particionada</t>
  </si>
  <si>
    <t xml:space="preserve">retail_bronze.*</t>
  </si>
  <si>
    <t xml:space="preserve">python ops.py subir-datos; python ops.py bronze</t>
  </si>
  <si>
    <t xml:space="preserve">SQL y script listos</t>
  </si>
  <si>
    <t xml:space="preserve">P2-03</t>
  </si>
  <si>
    <t xml:space="preserve">Silver con Spark</t>
  </si>
  <si>
    <t xml:space="preserve">Tipado, nulos, cuarentena con motivo, Parquet particionado, reporte conciliado</t>
  </si>
  <si>
    <t xml:space="preserve">pipelines/batch/silver_hm.py</t>
  </si>
  <si>
    <t xml:space="preserve">python ops.py silver</t>
  </si>
  <si>
    <t xml:space="preserve">Local: 546,741 filas, 3 rechazos inyectados detectados, conciliado; corregido fn/active</t>
  </si>
  <si>
    <t xml:space="preserve">P2-04</t>
  </si>
  <si>
    <t xml:space="preserve">Silver en BigQuery + vista de eventos</t>
  </si>
  <si>
    <t xml:space="preserve">LOAD DATA de Parquet; eventos deduplicados por event_id</t>
  </si>
  <si>
    <t xml:space="preserve">sql/silver/01_load_silver.sql</t>
  </si>
  <si>
    <t xml:space="preserve">P2-05</t>
  </si>
  <si>
    <t xml:space="preserve">Modelado</t>
  </si>
  <si>
    <t xml:space="preserve">Gold: modelo estrella</t>
  </si>
  <si>
    <t xml:space="preserve">fact_sales, fact_orders, dim_article/customer/date/channel</t>
  </si>
  <si>
    <t xml:space="preserve">sql/gold/01_gold_model.sql</t>
  </si>
  <si>
    <t xml:space="preserve">python ops.py gold</t>
  </si>
  <si>
    <t xml:space="preserve">P2-06</t>
  </si>
  <si>
    <t xml:space="preserve">Streaming</t>
  </si>
  <si>
    <t xml:space="preserve">Replay de eventos 2026</t>
  </si>
  <si>
    <t xml:space="preserve">Transacciones reales re-emitidas con event_id idempotente</t>
  </si>
  <si>
    <t xml:space="preserve">ingestion/streaming/replay_publisher.py</t>
  </si>
  <si>
    <t xml:space="preserve">python ops.py replay</t>
  </si>
  <si>
    <t xml:space="preserve">Dry-run sobre datos reales OK</t>
  </si>
  <si>
    <t xml:space="preserve">P2-07</t>
  </si>
  <si>
    <t xml:space="preserve">Ruta económica Pub/Sub -&gt; BigQuery</t>
  </si>
  <si>
    <t xml:space="preserve">Suscripción BigQuery con DLQ</t>
  </si>
  <si>
    <t xml:space="preserve">infra/terraform/main.tf</t>
  </si>
  <si>
    <t xml:space="preserve">P2-08</t>
  </si>
  <si>
    <t xml:space="preserve">Pipeline Dataflow</t>
  </si>
  <si>
    <t xml:space="preserve">Validación, dedup, ventanas 1 min, datos tardíos, DLQ, lag p50/p95</t>
  </si>
  <si>
    <t xml:space="preserve">pipelines/streaming/dataflow_events.py</t>
  </si>
  <si>
    <t xml:space="preserve">python ops.py dataflow-iniciar / dataflow-detener</t>
  </si>
  <si>
    <t xml:space="preserve">DirectRunner: 350 mensajes -&gt; 300 únicos, 2 a DLQ</t>
  </si>
  <si>
    <t xml:space="preserve">P2-09</t>
  </si>
  <si>
    <t xml:space="preserve">ML</t>
  </si>
  <si>
    <t xml:space="preserve">Popularidad y catálogo de servicio</t>
  </si>
  <si>
    <t xml:space="preserve">reco_popular y v_catalog_serving en Gold</t>
  </si>
  <si>
    <t xml:space="preserve">P2-10</t>
  </si>
  <si>
    <t xml:space="preserve">Recomendador baseline + evaluación</t>
  </si>
  <si>
    <t xml:space="preserve">Split temporal, MAP@12: popularidad vs recompra</t>
  </si>
  <si>
    <t xml:space="preserve">docs/evaluacion_recomendador.md</t>
  </si>
  <si>
    <t xml:space="preserve">python pipelines/reco/baseline_eval.py</t>
  </si>
  <si>
    <t xml:space="preserve">MAP@12 0.00875 vs 0.02622 (+200%)</t>
  </si>
  <si>
    <t xml:space="preserve">P2-11</t>
  </si>
  <si>
    <t xml:space="preserve">Diccionario de datos</t>
  </si>
  <si>
    <t xml:space="preserve">Columnas, reglas y linaje Silver/Gold/ops/OLTP</t>
  </si>
  <si>
    <t xml:space="preserve">docs/diccionario_datos.md</t>
  </si>
  <si>
    <t xml:space="preserve">P2-12</t>
  </si>
  <si>
    <t xml:space="preserve">Vistas para tableros</t>
  </si>
  <si>
    <t xml:space="preserve">Ventas mensuales, top artículos, recurrencia, salud streaming</t>
  </si>
  <si>
    <t xml:space="preserve">sql/gold/02_kpi_views.sql</t>
  </si>
  <si>
    <t xml:space="preserve">P2-13</t>
  </si>
  <si>
    <t xml:space="preserve">Dashboard borrador</t>
  </si>
  <si>
    <t xml:space="preserve">Primer tablero Looker Studio sobre las vistas Gold</t>
  </si>
  <si>
    <t xml:space="preserve">Enlace Looker Studio</t>
  </si>
  <si>
    <t xml:space="preserve">P2-14</t>
  </si>
  <si>
    <t xml:space="preserve">Informe Entrega 2</t>
  </si>
  <si>
    <t xml:space="preserve">Evidencias: conteos, reporte de calidad, capturas</t>
  </si>
  <si>
    <t xml:space="preserve">Word Entrega 2</t>
  </si>
  <si>
    <t xml:space="preserve">P2-02..P2-13</t>
  </si>
  <si>
    <t xml:space="preserve">P3-01</t>
  </si>
  <si>
    <t xml:space="preserve">API</t>
  </si>
  <si>
    <t xml:space="preserve">API FastAPI</t>
  </si>
  <si>
    <t xml:space="preserve">Catálogo, recomendaciones, asistente, carrito, checkout, wallet, pedidos, métricas, OpenAPI /docs</t>
  </si>
  <si>
    <t xml:space="preserve">api/main.py</t>
  </si>
  <si>
    <t xml:space="preserve">python ops.py local</t>
  </si>
  <si>
    <t xml:space="preserve">Pruebas automáticas OK</t>
  </si>
  <si>
    <t xml:space="preserve">P3-02</t>
  </si>
  <si>
    <t xml:space="preserve">Wallet transaccional</t>
  </si>
  <si>
    <t xml:space="preserve">Ledger append-only, ACID, idempotencia, sin sobregiro, confirmación explícita</t>
  </si>
  <si>
    <t xml:space="preserve">api/schema.sql</t>
  </si>
  <si>
    <t xml:space="preserve">python -m unittest discover -s tests</t>
  </si>
  <si>
    <t xml:space="preserve">Test: doble clic = 1 cobro; 409 sin saldo</t>
  </si>
  <si>
    <t xml:space="preserve">P3-03</t>
  </si>
  <si>
    <t xml:space="preserve">Asistente Vertex AI Gemini</t>
  </si>
  <si>
    <t xml:space="preserve">Gemini 3.1 Flash-Lite interpreta; backend busca en catálogo real; respaldo por reglas</t>
  </si>
  <si>
    <t xml:space="preserve">api/assistant.py</t>
  </si>
  <si>
    <t xml:space="preserve">config/control_plataforma.json: assistant_mode = gemini</t>
  </si>
  <si>
    <t xml:space="preserve">Reglas probadas con catálogo real; Gemini requiere GCP</t>
  </si>
  <si>
    <t xml:space="preserve">P3-04</t>
  </si>
  <si>
    <t xml:space="preserve">Recomendaciones en API</t>
  </si>
  <si>
    <t xml:space="preserve">Perfil por grupo + popularidad; cold-start explícito</t>
  </si>
  <si>
    <t xml:space="preserve">P3-05</t>
  </si>
  <si>
    <t xml:space="preserve">Web tienda</t>
  </si>
  <si>
    <t xml:space="preserve">Chat, productos con imagen, carrito, confirmación, saldo, pedidos</t>
  </si>
  <si>
    <t xml:space="preserve">api/static/index.html</t>
  </si>
  <si>
    <t xml:space="preserve">P3-06</t>
  </si>
  <si>
    <t xml:space="preserve">Cloud SQL + Cloud Run + secretos</t>
  </si>
  <si>
    <t xml:space="preserve">Terraform de base, servicio, secretos y acceso público</t>
  </si>
  <si>
    <t xml:space="preserve">infra/terraform/cloudsql.tf, cloudrun.tf</t>
  </si>
  <si>
    <t xml:space="preserve">python ops.py apply</t>
  </si>
  <si>
    <t xml:space="preserve">tofu validate OK</t>
  </si>
  <si>
    <t xml:space="preserve">P3-07</t>
  </si>
  <si>
    <t xml:space="preserve">CI/CD sin llaves</t>
  </si>
  <si>
    <t xml:space="preserve">Workload Identity Federation + workflow de despliegue</t>
  </si>
  <si>
    <t xml:space="preserve">infra/terraform/cicd.tf, .github/workflows/deploy.yml</t>
  </si>
  <si>
    <t xml:space="preserve">python ops.py github; Actions &gt; deploy-api</t>
  </si>
  <si>
    <t xml:space="preserve">P3-08</t>
  </si>
  <si>
    <t xml:space="preserve">Catálogo Gold -&gt; Cloud SQL</t>
  </si>
  <si>
    <t xml:space="preserve">Cargar v_catalog_serving con Cloud SQL Auth Proxy</t>
  </si>
  <si>
    <t xml:space="preserve">Tabla articles en Cloud SQL</t>
  </si>
  <si>
    <t xml:space="preserve">python ops.py catalogo</t>
  </si>
  <si>
    <t xml:space="preserve">P2-09, P3-06</t>
  </si>
  <si>
    <t xml:space="preserve">Local: 105,542 artículos cargados</t>
  </si>
  <si>
    <t xml:space="preserve">P3-09</t>
  </si>
  <si>
    <t xml:space="preserve">Dashboard gerencial</t>
  </si>
  <si>
    <t xml:space="preserve">Ventas, ticket medio, top, recurrencia, recomendador</t>
  </si>
  <si>
    <t xml:space="preserve">Looker Studio</t>
  </si>
  <si>
    <t xml:space="preserve">P3-10</t>
  </si>
  <si>
    <t xml:space="preserve">Dashboard operativo y de costos</t>
  </si>
  <si>
    <t xml:space="preserve">Eventos/min, lag, DLQ, costo real y USD/pedido</t>
  </si>
  <si>
    <t xml:space="preserve">P2-08, P1-10</t>
  </si>
  <si>
    <t xml:space="preserve">P3-11</t>
  </si>
  <si>
    <t xml:space="preserve">Prueba de recuperación</t>
  </si>
  <si>
    <t xml:space="preserve">Clonar Cloud SQL por PITR y restaurar objeto GCS; medir RTO</t>
  </si>
  <si>
    <t xml:space="preserve">docs/runbooks/drp.md</t>
  </si>
  <si>
    <t xml:space="preserve">Runbook listo</t>
  </si>
  <si>
    <t xml:space="preserve">P3-12</t>
  </si>
  <si>
    <t xml:space="preserve">Costo real vs estimado</t>
  </si>
  <si>
    <t xml:space="preserve">Billing export, vista de costo real, recalibrar supuestos</t>
  </si>
  <si>
    <t xml:space="preserve">cost/real_cost_per_order.sql</t>
  </si>
  <si>
    <t xml:space="preserve">P3-13</t>
  </si>
  <si>
    <t xml:space="preserve">Guion de demo end-to-end</t>
  </si>
  <si>
    <t xml:space="preserve">Caso bebé: asistente -&gt; carrito -&gt; compra -&gt; evento -&gt; Gold -&gt; tablero</t>
  </si>
  <si>
    <t xml:space="preserve">docs/demo_script.md</t>
  </si>
  <si>
    <t xml:space="preserve">P3-14</t>
  </si>
  <si>
    <t xml:space="preserve">Slides (8 puntos del PDF)</t>
  </si>
  <si>
    <t xml:space="preserve">Resumen, situación, KPI, productos, supuestos, arquitectura, calculadora, demo, conclusiones</t>
  </si>
  <si>
    <t xml:space="preserve">docs/slides/</t>
  </si>
  <si>
    <t xml:space="preserve">P3-01..P3-12</t>
  </si>
  <si>
    <t xml:space="preserve">P3-15</t>
  </si>
  <si>
    <t xml:space="preserve">Documento final y trazabilidad</t>
  </si>
  <si>
    <t xml:space="preserve">Word final con evidencias y matriz requisito -&gt; evidencia</t>
  </si>
  <si>
    <t xml:space="preserve">docs/</t>
  </si>
  <si>
    <t xml:space="preserve">P3-16</t>
  </si>
  <si>
    <t xml:space="preserve">Apagado post-demo</t>
  </si>
  <si>
    <t xml:space="preserve">Detener Dataflow; destruir recursos demo</t>
  </si>
  <si>
    <t xml:space="preserve">Checklist</t>
  </si>
  <si>
    <t xml:space="preserve">python ops.py dataflow-detener; python ops.py destroy</t>
  </si>
  <si>
    <t xml:space="preserve">Integrante</t>
  </si>
  <si>
    <t xml:space="preserve">Responsabilidad</t>
  </si>
  <si>
    <t xml:space="preserve">ML / Analytics</t>
  </si>
  <si>
    <t xml:space="preserve">Chatbot con Vertex AI Gemini, analítica, recomendaciones; integra documentos y demo.</t>
  </si>
  <si>
    <t xml:space="preserve">Cloud Computing</t>
  </si>
  <si>
    <t xml:space="preserve">Todo lo nube: Terraform, IAM, GCS, Pub/Sub, Dataflow (ingesta streaming), CI/CD, costos, DRP.</t>
  </si>
  <si>
    <t xml:space="preserve">Datos + API + Modelado</t>
  </si>
  <si>
    <t xml:space="preserve">Bronze/Silver/Gold, calidad, modelo estrella, FastAPI y base transaccional.</t>
  </si>
  <si>
    <t xml:space="preserve">Dashboard / BI</t>
  </si>
  <si>
    <t xml:space="preserve">KPIs, Looker Studio, calculadora y tablero de costos, diagramas y slides.</t>
  </si>
  <si>
    <t xml:space="preserve">#</t>
  </si>
  <si>
    <t xml:space="preserve">Acción</t>
  </si>
  <si>
    <t xml:space="preserve">Insumo del JSON de control</t>
  </si>
  <si>
    <t xml:space="preserve">Verificación</t>
  </si>
  <si>
    <t xml:space="preserve">D01</t>
  </si>
  <si>
    <t xml:space="preserve">Instalar herramientas</t>
  </si>
  <si>
    <t xml:space="preserve">Google Cloud CLI, Terraform &gt;= 1.6, Python 3.10-3.12, git (o usar Cloud Shell, que ya las trae)</t>
  </si>
  <si>
    <t xml:space="preserve">gcloud --version; terraform -version</t>
  </si>
  <si>
    <t xml:space="preserve">D02</t>
  </si>
  <si>
    <t xml:space="preserve">Crear proyecto y vincular facturación</t>
  </si>
  <si>
    <t xml:space="preserve">gcloud projects create &lt;project_id&gt;; gcloud billing projects link &lt;project_id&gt; --billing-account=&lt;cuenta&gt;</t>
  </si>
  <si>
    <t xml:space="preserve">Parametros: project_id, billing_account</t>
  </si>
  <si>
    <t xml:space="preserve">Proyecto con facturación en consola</t>
  </si>
  <si>
    <t xml:space="preserve">D03</t>
  </si>
  <si>
    <t xml:space="preserve">Completar el JSON de control</t>
  </si>
  <si>
    <t xml:space="preserve">Editar con `python ops.py panel` (o a mano) los campos marcados editables de config/control_plataforma.json: mínimo project_id y emails del equipo</t>
  </si>
  <si>
    <t xml:space="preserve">Parametros, Usuarios</t>
  </si>
  <si>
    <t xml:space="preserve">python ops.py config sin errores</t>
  </si>
  <si>
    <t xml:space="preserve">D04</t>
  </si>
  <si>
    <t xml:space="preserve">Autenticarse</t>
  </si>
  <si>
    <t xml:space="preserve">gcloud auth login; gcloud auth application-default login (en Cloud Shell no hace falta)</t>
  </si>
  <si>
    <t xml:space="preserve">gcloud config list</t>
  </si>
  <si>
    <t xml:space="preserve">D05</t>
  </si>
  <si>
    <t xml:space="preserve">Instalar dependencias</t>
  </si>
  <si>
    <t xml:space="preserve">pip install -r requirements.txt</t>
  </si>
  <si>
    <t xml:space="preserve">python ops.py estado</t>
  </si>
  <si>
    <t xml:space="preserve">D06</t>
  </si>
  <si>
    <t xml:space="preserve">Publicar repo</t>
  </si>
  <si>
    <t xml:space="preserve">git remote add origin https://github.com/OWNER/REPO.git; git push -u origin main</t>
  </si>
  <si>
    <t xml:space="preserve">Parametros: github_repo</t>
  </si>
  <si>
    <t xml:space="preserve">Workflow ci en verde</t>
  </si>
  <si>
    <t xml:space="preserve">D07</t>
  </si>
  <si>
    <t xml:space="preserve">Preparar proyecto</t>
  </si>
  <si>
    <t xml:space="preserve">python ops.py bootstrap</t>
  </si>
  <si>
    <t xml:space="preserve">APIs, Parametros: region, dataproc_subnet, bucket_tfstate_suffix</t>
  </si>
  <si>
    <t xml:space="preserve">APIs activas, bucket de estado, terraform init</t>
  </si>
  <si>
    <t xml:space="preserve">D08</t>
  </si>
  <si>
    <t xml:space="preserve">Revisar plan</t>
  </si>
  <si>
    <t xml:space="preserve">Todas las hojas</t>
  </si>
  <si>
    <t xml:space="preserve">Plan sin errores; recursos esperados</t>
  </si>
  <si>
    <t xml:space="preserve">D09</t>
  </si>
  <si>
    <t xml:space="preserve">Crear infraestructura</t>
  </si>
  <si>
    <t xml:space="preserve">Buckets, datasets, tablas, Pub/Sub, IAM, Cloud SQL, Cloud Run</t>
  </si>
  <si>
    <t xml:space="preserve">D10</t>
  </si>
  <si>
    <t xml:space="preserve">Subir datos H&amp;M (desde la PC con data/raw)</t>
  </si>
  <si>
    <t xml:space="preserve">python ops.py subir-datos  (imágenes: --con-imagenes)</t>
  </si>
  <si>
    <t xml:space="preserve">Parametros: local_raw_dir, bucket_raw_suffix</t>
  </si>
  <si>
    <t xml:space="preserve">gs://&lt;bucket raw&gt;/hm/*.csv</t>
  </si>
  <si>
    <t xml:space="preserve">D11</t>
  </si>
  <si>
    <t xml:space="preserve">Bronze</t>
  </si>
  <si>
    <t xml:space="preserve">python ops.py bronze</t>
  </si>
  <si>
    <t xml:space="preserve">Datasets, Tablas</t>
  </si>
  <si>
    <t xml:space="preserve">31,788,324 filas en bronze.transactions</t>
  </si>
  <si>
    <t xml:space="preserve">D12</t>
  </si>
  <si>
    <t xml:space="preserve">Silver (Serverless Spark)</t>
  </si>
  <si>
    <t xml:space="preserve">Parametros: dataproc_runtime</t>
  </si>
  <si>
    <t xml:space="preserve">_quality_report conciliado=true</t>
  </si>
  <si>
    <t xml:space="preserve">D13</t>
  </si>
  <si>
    <t xml:space="preserve">Gold y vistas BI</t>
  </si>
  <si>
    <t xml:space="preserve">Parametros: price_demo_factor</t>
  </si>
  <si>
    <t xml:space="preserve">Tablas fact_/dim_ y vistas v_*</t>
  </si>
  <si>
    <t xml:space="preserve">D14</t>
  </si>
  <si>
    <t xml:space="preserve">Streaming de prueba</t>
  </si>
  <si>
    <t xml:space="preserve">python ops.py dataflow-iniciar; python ops.py replay; python ops.py dataflow-detener</t>
  </si>
  <si>
    <t xml:space="preserve">Parametros: dataflow_*, replay_*</t>
  </si>
  <si>
    <t xml:space="preserve">Filas en ops.stream_metrics_1m y silver.v_events</t>
  </si>
  <si>
    <t xml:space="preserve">D15</t>
  </si>
  <si>
    <t xml:space="preserve">API, web y catálogo</t>
  </si>
  <si>
    <t xml:space="preserve">python ops.py api</t>
  </si>
  <si>
    <t xml:space="preserve">Parametros: cloudrun_*, assistant_mode, gemini_model; Usuarios (app)</t>
  </si>
  <si>
    <t xml:space="preserve">URL pública; /ready con 105,542 artículos</t>
  </si>
  <si>
    <t xml:space="preserve">D16</t>
  </si>
  <si>
    <t xml:space="preserve">Verificar contra el JSON de control</t>
  </si>
  <si>
    <t xml:space="preserve">python ops.py verificar</t>
  </si>
  <si>
    <t xml:space="preserve">Tablas, Columnas</t>
  </si>
  <si>
    <t xml:space="preserve">Matriz tabla por tabla: OK / FALTA / DIFERENTE</t>
  </si>
  <si>
    <t xml:space="preserve">D17</t>
  </si>
  <si>
    <t xml:space="preserve">Despliegue desde GitHub</t>
  </si>
  <si>
    <t xml:space="preserve">python ops.py github -&gt; crear variable GCP_WIF_PROVIDER -&gt; Actions &gt; deploy-api</t>
  </si>
  <si>
    <t xml:space="preserve">Workflow deploy-api en verde</t>
  </si>
  <si>
    <t xml:space="preserve">D18</t>
  </si>
  <si>
    <t xml:space="preserve">Tableros</t>
  </si>
  <si>
    <t xml:space="preserve">Looker Studio &gt; Agregar datos &gt; BigQuery &gt; gold.v_* y ops.*</t>
  </si>
  <si>
    <t xml:space="preserve">Tablas (vistas)</t>
  </si>
  <si>
    <t xml:space="preserve">Tablero gerencial y operativo</t>
  </si>
  <si>
    <t xml:space="preserve">D19</t>
  </si>
  <si>
    <t xml:space="preserve">Costos reales</t>
  </si>
  <si>
    <t xml:space="preserve">Consola: exportar facturación a BigQuery (dataset ops) -&gt; parámetro billing_export_table -&gt; python ops.py costo-real</t>
  </si>
  <si>
    <t xml:space="preserve">Parametros: billing_export_table</t>
  </si>
  <si>
    <t xml:space="preserve">ops.v_costo_real_mensual con datos</t>
  </si>
  <si>
    <t xml:space="preserve">D20</t>
  </si>
  <si>
    <t xml:space="preserve">Apagado</t>
  </si>
  <si>
    <t xml:space="preserve">Parametros: force_destroy_buckets</t>
  </si>
  <si>
    <t xml:space="preserve">Facturación diaria ~0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</si>
</sst>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n">
        <f aca="false">COUNTIF(Matriz!$B$2:$B$52,A2)</f>
        <v>21</v>
      </c>
      <c r="E2" s="2" t="n">
        <f aca="false">COUNTIFS(Matriz!$B$2:$B$52,$A2,Matriz!$N$2:$N$52,"Hecho")</f>
        <v>15</v>
      </c>
      <c r="F2" s="2" t="n">
        <f aca="false">COUNTIFS(Matriz!$B$2:$B$52,$A2,Matriz!$N$2:$N$52,"Listo para desplegar")</f>
        <v>3</v>
      </c>
      <c r="G2" s="2" t="n">
        <f aca="false">COUNTIFS(Matriz!$B$2:$B$52,$A2,Matriz!$N$2:$N$52,"Pendiente")</f>
        <v>3</v>
      </c>
      <c r="H2" s="3" t="n">
        <f aca="false">IF(D2&gt;0,E2/D2,0)</f>
        <v>0.714285714285714</v>
      </c>
      <c r="I2" s="3" t="n">
        <f aca="false">IF(D2&gt;0,(E2+F2)/D2,0)</f>
        <v>0.857142857142857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2" t="n">
        <f aca="false">COUNTIF(Matriz!$B$2:$B$52,A3)</f>
        <v>14</v>
      </c>
      <c r="E3" s="2" t="n">
        <f aca="false">COUNTIFS(Matriz!$B$2:$B$52,$A3,Matriz!$N$2:$N$52,"Hecho")</f>
        <v>2</v>
      </c>
      <c r="F3" s="2" t="n">
        <f aca="false">COUNTIFS(Matriz!$B$2:$B$52,$A3,Matriz!$N$2:$N$52,"Listo para desplegar")</f>
        <v>8</v>
      </c>
      <c r="G3" s="2" t="n">
        <f aca="false">COUNTIFS(Matriz!$B$2:$B$52,$A3,Matriz!$N$2:$N$52,"Pendiente")</f>
        <v>4</v>
      </c>
      <c r="H3" s="3" t="n">
        <f aca="false">IF(D3&gt;0,E3/D3,0)</f>
        <v>0.142857142857143</v>
      </c>
      <c r="I3" s="3" t="n">
        <f aca="false">IF(D3&gt;0,(E3+F3)/D3,0)</f>
        <v>0.714285714285714</v>
      </c>
    </row>
    <row r="4" customFormat="false" ht="15" hidden="false" customHeight="false" outlineLevel="0" collapsed="false">
      <c r="A4" s="2" t="n">
        <v>3</v>
      </c>
      <c r="B4" s="2" t="s">
        <v>13</v>
      </c>
      <c r="C4" s="2" t="s">
        <v>14</v>
      </c>
      <c r="D4" s="2" t="n">
        <f aca="false">COUNTIF(Matriz!$B$2:$B$52,A4)</f>
        <v>16</v>
      </c>
      <c r="E4" s="2" t="n">
        <f aca="false">COUNTIFS(Matriz!$B$2:$B$52,$A4,Matriz!$N$2:$N$52,"Hecho")</f>
        <v>1</v>
      </c>
      <c r="F4" s="2" t="n">
        <f aca="false">COUNTIFS(Matriz!$B$2:$B$52,$A4,Matriz!$N$2:$N$52,"Listo para desplegar")</f>
        <v>7</v>
      </c>
      <c r="G4" s="2" t="n">
        <f aca="false">COUNTIFS(Matriz!$B$2:$B$52,$A4,Matriz!$N$2:$N$52,"Pendiente")</f>
        <v>8</v>
      </c>
      <c r="H4" s="3" t="n">
        <f aca="false">IF(D4&gt;0,E4/D4,0)</f>
        <v>0.0625</v>
      </c>
      <c r="I4" s="3" t="n">
        <f aca="false">IF(D4&gt;0,(E4+F4)/D4,0)</f>
        <v>0.5</v>
      </c>
    </row>
    <row r="5" customFormat="false" ht="15" hidden="false" customHeight="false" outlineLevel="0" collapsed="false">
      <c r="A5" s="4"/>
      <c r="B5" s="4" t="s">
        <v>15</v>
      </c>
      <c r="C5" s="4"/>
      <c r="D5" s="4" t="n">
        <f aca="false">SUM(D2:D4)</f>
        <v>51</v>
      </c>
      <c r="E5" s="4" t="n">
        <f aca="false">SUM(E2:E4)</f>
        <v>18</v>
      </c>
      <c r="F5" s="4" t="n">
        <f aca="false">SUM(F2:F4)</f>
        <v>18</v>
      </c>
      <c r="G5" s="4" t="n">
        <f aca="false">SUM(G2:G4)</f>
        <v>15</v>
      </c>
      <c r="H5" s="5" t="n">
        <f aca="false">IF(D5&gt;0,E5/D5,0)</f>
        <v>0.352941176470588</v>
      </c>
      <c r="I5" s="5" t="n">
        <f aca="false">IF(D5&gt;0,(E5+F5)/D5,0)</f>
        <v>0.705882352941177</v>
      </c>
    </row>
    <row r="8" customFormat="false" ht="15" hidden="false" customHeight="false" outlineLevel="0" collapsed="false">
      <c r="A8" s="6" t="s">
        <v>16</v>
      </c>
    </row>
    <row r="9" customFormat="false" ht="15" hidden="false" customHeight="false" outlineLevel="0" collapsed="false">
      <c r="A9" s="7" t="s">
        <v>17</v>
      </c>
    </row>
    <row r="10" customFormat="false" ht="15" hidden="false" customHeight="false" outlineLevel="0" collapsed="false">
      <c r="A10" s="7" t="s">
        <v>18</v>
      </c>
    </row>
    <row r="11" customFormat="false" ht="15" hidden="false" customHeight="false" outlineLevel="0" collapsed="false">
      <c r="A11" s="7" t="s">
        <v>19</v>
      </c>
    </row>
    <row r="12" customFormat="false" ht="15" hidden="false" customHeight="false" outlineLevel="0" collapsed="false">
      <c r="A12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46"/>
    <col collapsed="false" customWidth="true" hidden="false" outlineLevel="0" max="8" min="8" style="0" width="32"/>
    <col collapsed="false" customWidth="true" hidden="false" outlineLevel="0" max="9" min="9" style="0" width="28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38"/>
  </cols>
  <sheetData>
    <row r="1" customFormat="false" ht="35.05" hidden="false" customHeight="false" outlineLevel="0" collapsed="false">
      <c r="A1" s="8" t="s">
        <v>21</v>
      </c>
      <c r="B1" s="8" t="s">
        <v>0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customFormat="false" ht="23.85" hidden="false" customHeight="false" outlineLevel="0" collapsed="false">
      <c r="A2" s="9" t="s">
        <v>36</v>
      </c>
      <c r="B2" s="9" t="n">
        <v>1</v>
      </c>
      <c r="C2" s="9" t="n">
        <v>1</v>
      </c>
      <c r="D2" s="10" t="s">
        <v>10</v>
      </c>
      <c r="E2" s="10" t="s">
        <v>37</v>
      </c>
      <c r="F2" s="10" t="s">
        <v>38</v>
      </c>
      <c r="G2" s="10" t="s">
        <v>39</v>
      </c>
      <c r="H2" s="10" t="s">
        <v>40</v>
      </c>
      <c r="I2" s="10"/>
      <c r="J2" s="10"/>
      <c r="K2" s="10" t="s">
        <v>41</v>
      </c>
      <c r="L2" s="10" t="str">
        <f aca="false">IFERROR(INDEX(Perfiles!$B$2:$B$5,MATCH(K2,Perfiles!$A$2:$A$5,0)),"")</f>
        <v>Datos + API + Modelado</v>
      </c>
      <c r="M2" s="10" t="s">
        <v>42</v>
      </c>
      <c r="N2" s="10" t="s">
        <v>43</v>
      </c>
      <c r="O2" s="10" t="str">
        <f aca="false">IF(N2="Hecho","Sí","No")</f>
        <v>Sí</v>
      </c>
      <c r="P2" s="10" t="s">
        <v>44</v>
      </c>
    </row>
    <row r="3" customFormat="false" ht="23.85" hidden="false" customHeight="false" outlineLevel="0" collapsed="false">
      <c r="A3" s="9" t="s">
        <v>45</v>
      </c>
      <c r="B3" s="9" t="n">
        <v>1</v>
      </c>
      <c r="C3" s="9" t="n">
        <v>2</v>
      </c>
      <c r="D3" s="10" t="s">
        <v>10</v>
      </c>
      <c r="E3" s="10" t="s">
        <v>46</v>
      </c>
      <c r="F3" s="10" t="s">
        <v>47</v>
      </c>
      <c r="G3" s="10" t="s">
        <v>48</v>
      </c>
      <c r="H3" s="10" t="s">
        <v>49</v>
      </c>
      <c r="I3" s="10"/>
      <c r="J3" s="10"/>
      <c r="K3" s="10" t="s">
        <v>42</v>
      </c>
      <c r="L3" s="10" t="str">
        <f aca="false">IFERROR(INDEX(Perfiles!$B$2:$B$5,MATCH(K3,Perfiles!$A$2:$A$5,0)),"")</f>
        <v>ML / Analytics</v>
      </c>
      <c r="M3" s="10" t="s">
        <v>50</v>
      </c>
      <c r="N3" s="10" t="s">
        <v>43</v>
      </c>
      <c r="O3" s="10" t="str">
        <f aca="false">IF(N3="Hecho","Sí","No")</f>
        <v>Sí</v>
      </c>
      <c r="P3" s="10" t="s">
        <v>51</v>
      </c>
    </row>
    <row r="4" customFormat="false" ht="23.85" hidden="false" customHeight="false" outlineLevel="0" collapsed="false">
      <c r="A4" s="9" t="s">
        <v>52</v>
      </c>
      <c r="B4" s="9" t="n">
        <v>1</v>
      </c>
      <c r="C4" s="9" t="n">
        <v>3</v>
      </c>
      <c r="D4" s="10" t="s">
        <v>10</v>
      </c>
      <c r="E4" s="10" t="s">
        <v>53</v>
      </c>
      <c r="F4" s="10" t="s">
        <v>54</v>
      </c>
      <c r="G4" s="10" t="s">
        <v>55</v>
      </c>
      <c r="H4" s="10" t="s">
        <v>56</v>
      </c>
      <c r="I4" s="10"/>
      <c r="J4" s="10"/>
      <c r="K4" s="10" t="s">
        <v>50</v>
      </c>
      <c r="L4" s="10" t="str">
        <f aca="false">IFERROR(INDEX(Perfiles!$B$2:$B$5,MATCH(K4,Perfiles!$A$2:$A$5,0)),"")</f>
        <v>Cloud Computing</v>
      </c>
      <c r="M4" s="10"/>
      <c r="N4" s="10" t="s">
        <v>43</v>
      </c>
      <c r="O4" s="10" t="str">
        <f aca="false">IF(N4="Hecho","Sí","No")</f>
        <v>Sí</v>
      </c>
      <c r="P4" s="10" t="s">
        <v>57</v>
      </c>
    </row>
    <row r="5" customFormat="false" ht="15" hidden="false" customHeight="false" outlineLevel="0" collapsed="false">
      <c r="A5" s="9" t="s">
        <v>58</v>
      </c>
      <c r="B5" s="9" t="n">
        <v>1</v>
      </c>
      <c r="C5" s="9" t="n">
        <v>4</v>
      </c>
      <c r="D5" s="10" t="s">
        <v>10</v>
      </c>
      <c r="E5" s="10" t="s">
        <v>59</v>
      </c>
      <c r="F5" s="10" t="s">
        <v>60</v>
      </c>
      <c r="G5" s="10" t="s">
        <v>61</v>
      </c>
      <c r="H5" s="10" t="s">
        <v>62</v>
      </c>
      <c r="I5" s="10"/>
      <c r="J5" s="10"/>
      <c r="K5" s="10" t="s">
        <v>50</v>
      </c>
      <c r="L5" s="10" t="str">
        <f aca="false">IFERROR(INDEX(Perfiles!$B$2:$B$5,MATCH(K5,Perfiles!$A$2:$A$5,0)),"")</f>
        <v>Cloud Computing</v>
      </c>
      <c r="M5" s="10" t="s">
        <v>42</v>
      </c>
      <c r="N5" s="10" t="s">
        <v>43</v>
      </c>
      <c r="O5" s="10" t="str">
        <f aca="false">IF(N5="Hecho","Sí","No")</f>
        <v>Sí</v>
      </c>
      <c r="P5" s="10" t="s">
        <v>63</v>
      </c>
    </row>
    <row r="6" customFormat="false" ht="46.25" hidden="false" customHeight="false" outlineLevel="0" collapsed="false">
      <c r="A6" s="9" t="s">
        <v>64</v>
      </c>
      <c r="B6" s="9" t="n">
        <v>1</v>
      </c>
      <c r="C6" s="9" t="n">
        <v>5</v>
      </c>
      <c r="D6" s="10" t="s">
        <v>10</v>
      </c>
      <c r="E6" s="10" t="s">
        <v>59</v>
      </c>
      <c r="F6" s="10" t="s">
        <v>65</v>
      </c>
      <c r="G6" s="10" t="s">
        <v>66</v>
      </c>
      <c r="H6" s="10" t="s">
        <v>67</v>
      </c>
      <c r="I6" s="10" t="s">
        <v>68</v>
      </c>
      <c r="J6" s="10"/>
      <c r="K6" s="10" t="s">
        <v>69</v>
      </c>
      <c r="L6" s="10" t="str">
        <f aca="false">IFERROR(INDEX(Perfiles!$B$2:$B$5,MATCH(K6,Perfiles!$A$2:$A$5,0)),"")</f>
        <v>Dashboard / BI</v>
      </c>
      <c r="M6" s="10" t="s">
        <v>50</v>
      </c>
      <c r="N6" s="10" t="s">
        <v>43</v>
      </c>
      <c r="O6" s="10" t="str">
        <f aca="false">IF(N6="Hecho","Sí","No")</f>
        <v>Sí</v>
      </c>
      <c r="P6" s="10" t="s">
        <v>70</v>
      </c>
    </row>
    <row r="7" customFormat="false" ht="23.85" hidden="false" customHeight="false" outlineLevel="0" collapsed="false">
      <c r="A7" s="9" t="s">
        <v>71</v>
      </c>
      <c r="B7" s="9" t="n">
        <v>1</v>
      </c>
      <c r="C7" s="9" t="n">
        <v>6</v>
      </c>
      <c r="D7" s="10" t="s">
        <v>10</v>
      </c>
      <c r="E7" s="10" t="s">
        <v>59</v>
      </c>
      <c r="F7" s="10" t="s">
        <v>72</v>
      </c>
      <c r="G7" s="10" t="s">
        <v>73</v>
      </c>
      <c r="H7" s="10" t="s">
        <v>74</v>
      </c>
      <c r="I7" s="10"/>
      <c r="J7" s="10" t="s">
        <v>36</v>
      </c>
      <c r="K7" s="10" t="s">
        <v>41</v>
      </c>
      <c r="L7" s="10" t="str">
        <f aca="false">IFERROR(INDEX(Perfiles!$B$2:$B$5,MATCH(K7,Perfiles!$A$2:$A$5,0)),"")</f>
        <v>Datos + API + Modelado</v>
      </c>
      <c r="M7" s="10" t="s">
        <v>50</v>
      </c>
      <c r="N7" s="10" t="s">
        <v>43</v>
      </c>
      <c r="O7" s="10" t="str">
        <f aca="false">IF(N7="Hecho","Sí","No")</f>
        <v>Sí</v>
      </c>
      <c r="P7" s="10"/>
    </row>
    <row r="8" customFormat="false" ht="23.85" hidden="false" customHeight="false" outlineLevel="0" collapsed="false">
      <c r="A8" s="9" t="s">
        <v>75</v>
      </c>
      <c r="B8" s="9" t="n">
        <v>1</v>
      </c>
      <c r="C8" s="9" t="n">
        <v>7</v>
      </c>
      <c r="D8" s="10" t="s">
        <v>10</v>
      </c>
      <c r="E8" s="10" t="s">
        <v>59</v>
      </c>
      <c r="F8" s="10" t="s">
        <v>76</v>
      </c>
      <c r="G8" s="10" t="s">
        <v>77</v>
      </c>
      <c r="H8" s="10" t="s">
        <v>78</v>
      </c>
      <c r="I8" s="10"/>
      <c r="J8" s="10" t="s">
        <v>71</v>
      </c>
      <c r="K8" s="10" t="s">
        <v>41</v>
      </c>
      <c r="L8" s="10" t="str">
        <f aca="false">IFERROR(INDEX(Perfiles!$B$2:$B$5,MATCH(K8,Perfiles!$A$2:$A$5,0)),"")</f>
        <v>Datos + API + Modelado</v>
      </c>
      <c r="M8" s="10" t="s">
        <v>50</v>
      </c>
      <c r="N8" s="10" t="s">
        <v>43</v>
      </c>
      <c r="O8" s="10" t="str">
        <f aca="false">IF(N8="Hecho","Sí","No")</f>
        <v>Sí</v>
      </c>
      <c r="P8" s="10"/>
    </row>
    <row r="9" customFormat="false" ht="15" hidden="false" customHeight="false" outlineLevel="0" collapsed="false">
      <c r="A9" s="9" t="s">
        <v>79</v>
      </c>
      <c r="B9" s="9" t="n">
        <v>1</v>
      </c>
      <c r="C9" s="9" t="n">
        <v>8</v>
      </c>
      <c r="D9" s="10" t="s">
        <v>10</v>
      </c>
      <c r="E9" s="10" t="s">
        <v>59</v>
      </c>
      <c r="F9" s="10" t="s">
        <v>80</v>
      </c>
      <c r="G9" s="10" t="s">
        <v>81</v>
      </c>
      <c r="H9" s="10" t="s">
        <v>82</v>
      </c>
      <c r="I9" s="10"/>
      <c r="J9" s="10"/>
      <c r="K9" s="10" t="s">
        <v>50</v>
      </c>
      <c r="L9" s="10" t="str">
        <f aca="false">IFERROR(INDEX(Perfiles!$B$2:$B$5,MATCH(K9,Perfiles!$A$2:$A$5,0)),"")</f>
        <v>Cloud Computing</v>
      </c>
      <c r="M9" s="10" t="s">
        <v>41</v>
      </c>
      <c r="N9" s="10" t="s">
        <v>43</v>
      </c>
      <c r="O9" s="10" t="str">
        <f aca="false">IF(N9="Hecho","Sí","No")</f>
        <v>Sí</v>
      </c>
      <c r="P9" s="10" t="s">
        <v>83</v>
      </c>
    </row>
    <row r="10" customFormat="false" ht="23.85" hidden="false" customHeight="false" outlineLevel="0" collapsed="false">
      <c r="A10" s="9" t="s">
        <v>84</v>
      </c>
      <c r="B10" s="9" t="n">
        <v>1</v>
      </c>
      <c r="C10" s="9" t="n">
        <v>9</v>
      </c>
      <c r="D10" s="10" t="s">
        <v>10</v>
      </c>
      <c r="E10" s="10" t="s">
        <v>85</v>
      </c>
      <c r="F10" s="10" t="s">
        <v>86</v>
      </c>
      <c r="G10" s="10" t="s">
        <v>87</v>
      </c>
      <c r="H10" s="10" t="s">
        <v>88</v>
      </c>
      <c r="I10" s="10" t="s">
        <v>89</v>
      </c>
      <c r="J10" s="10"/>
      <c r="K10" s="10" t="s">
        <v>69</v>
      </c>
      <c r="L10" s="10" t="str">
        <f aca="false">IFERROR(INDEX(Perfiles!$B$2:$B$5,MATCH(K10,Perfiles!$A$2:$A$5,0)),"")</f>
        <v>Dashboard / BI</v>
      </c>
      <c r="M10" s="10" t="s">
        <v>50</v>
      </c>
      <c r="N10" s="10" t="s">
        <v>43</v>
      </c>
      <c r="O10" s="10" t="str">
        <f aca="false">IF(N10="Hecho","Sí","No")</f>
        <v>Sí</v>
      </c>
      <c r="P10" s="10" t="s">
        <v>90</v>
      </c>
    </row>
    <row r="11" customFormat="false" ht="23.85" hidden="false" customHeight="false" outlineLevel="0" collapsed="false">
      <c r="A11" s="9" t="s">
        <v>91</v>
      </c>
      <c r="B11" s="9" t="n">
        <v>1</v>
      </c>
      <c r="C11" s="9" t="n">
        <v>10</v>
      </c>
      <c r="D11" s="10" t="s">
        <v>10</v>
      </c>
      <c r="E11" s="10" t="s">
        <v>85</v>
      </c>
      <c r="F11" s="10" t="s">
        <v>92</v>
      </c>
      <c r="G11" s="10" t="s">
        <v>93</v>
      </c>
      <c r="H11" s="10" t="s">
        <v>94</v>
      </c>
      <c r="I11" s="10" t="s">
        <v>95</v>
      </c>
      <c r="J11" s="10" t="s">
        <v>96</v>
      </c>
      <c r="K11" s="10" t="s">
        <v>50</v>
      </c>
      <c r="L11" s="10" t="str">
        <f aca="false">IFERROR(INDEX(Perfiles!$B$2:$B$5,MATCH(K11,Perfiles!$A$2:$A$5,0)),"")</f>
        <v>Cloud Computing</v>
      </c>
      <c r="M11" s="10" t="s">
        <v>69</v>
      </c>
      <c r="N11" s="10" t="s">
        <v>97</v>
      </c>
      <c r="O11" s="10" t="str">
        <f aca="false">IF(N11="Hecho","Sí","No")</f>
        <v>No</v>
      </c>
      <c r="P11" s="10" t="s">
        <v>98</v>
      </c>
    </row>
    <row r="12" customFormat="false" ht="15" hidden="false" customHeight="false" outlineLevel="0" collapsed="false">
      <c r="A12" s="9" t="s">
        <v>99</v>
      </c>
      <c r="B12" s="9" t="n">
        <v>1</v>
      </c>
      <c r="C12" s="9" t="n">
        <v>11</v>
      </c>
      <c r="D12" s="10" t="s">
        <v>10</v>
      </c>
      <c r="E12" s="10" t="s">
        <v>100</v>
      </c>
      <c r="F12" s="10" t="s">
        <v>101</v>
      </c>
      <c r="G12" s="10" t="s">
        <v>102</v>
      </c>
      <c r="H12" s="10" t="s">
        <v>103</v>
      </c>
      <c r="I12" s="10"/>
      <c r="J12" s="10"/>
      <c r="K12" s="10" t="s">
        <v>50</v>
      </c>
      <c r="L12" s="10" t="str">
        <f aca="false">IFERROR(INDEX(Perfiles!$B$2:$B$5,MATCH(K12,Perfiles!$A$2:$A$5,0)),"")</f>
        <v>Cloud Computing</v>
      </c>
      <c r="M12" s="10" t="s">
        <v>41</v>
      </c>
      <c r="N12" s="10" t="s">
        <v>43</v>
      </c>
      <c r="O12" s="10" t="str">
        <f aca="false">IF(N12="Hecho","Sí","No")</f>
        <v>Sí</v>
      </c>
      <c r="P12" s="10"/>
    </row>
    <row r="13" customFormat="false" ht="15" hidden="false" customHeight="false" outlineLevel="0" collapsed="false">
      <c r="A13" s="9" t="s">
        <v>104</v>
      </c>
      <c r="B13" s="9" t="n">
        <v>1</v>
      </c>
      <c r="C13" s="9" t="n">
        <v>12</v>
      </c>
      <c r="D13" s="10" t="s">
        <v>10</v>
      </c>
      <c r="E13" s="10" t="s">
        <v>105</v>
      </c>
      <c r="F13" s="10" t="s">
        <v>106</v>
      </c>
      <c r="G13" s="10" t="s">
        <v>107</v>
      </c>
      <c r="H13" s="10" t="s">
        <v>108</v>
      </c>
      <c r="I13" s="10"/>
      <c r="J13" s="10"/>
      <c r="K13" s="10" t="s">
        <v>69</v>
      </c>
      <c r="L13" s="10" t="str">
        <f aca="false">IFERROR(INDEX(Perfiles!$B$2:$B$5,MATCH(K13,Perfiles!$A$2:$A$5,0)),"")</f>
        <v>Dashboard / BI</v>
      </c>
      <c r="M13" s="10" t="s">
        <v>42</v>
      </c>
      <c r="N13" s="10" t="s">
        <v>43</v>
      </c>
      <c r="O13" s="10" t="str">
        <f aca="false">IF(N13="Hecho","Sí","No")</f>
        <v>Sí</v>
      </c>
      <c r="P13" s="10"/>
    </row>
    <row r="14" customFormat="false" ht="35.05" hidden="false" customHeight="false" outlineLevel="0" collapsed="false">
      <c r="A14" s="9" t="s">
        <v>109</v>
      </c>
      <c r="B14" s="9" t="n">
        <v>1</v>
      </c>
      <c r="C14" s="9" t="n">
        <v>13</v>
      </c>
      <c r="D14" s="10" t="s">
        <v>10</v>
      </c>
      <c r="E14" s="10" t="s">
        <v>37</v>
      </c>
      <c r="F14" s="10" t="s">
        <v>110</v>
      </c>
      <c r="G14" s="10" t="s">
        <v>111</v>
      </c>
      <c r="H14" s="10" t="s">
        <v>112</v>
      </c>
      <c r="I14" s="10" t="s">
        <v>113</v>
      </c>
      <c r="J14" s="10"/>
      <c r="K14" s="10" t="s">
        <v>41</v>
      </c>
      <c r="L14" s="10" t="str">
        <f aca="false">IFERROR(INDEX(Perfiles!$B$2:$B$5,MATCH(K14,Perfiles!$A$2:$A$5,0)),"")</f>
        <v>Datos + API + Modelado</v>
      </c>
      <c r="M14" s="10" t="s">
        <v>50</v>
      </c>
      <c r="N14" s="10" t="s">
        <v>43</v>
      </c>
      <c r="O14" s="10" t="str">
        <f aca="false">IF(N14="Hecho","Sí","No")</f>
        <v>Sí</v>
      </c>
      <c r="P14" s="10" t="s">
        <v>114</v>
      </c>
    </row>
    <row r="15" customFormat="false" ht="23.85" hidden="false" customHeight="false" outlineLevel="0" collapsed="false">
      <c r="A15" s="9" t="s">
        <v>115</v>
      </c>
      <c r="B15" s="9" t="n">
        <v>1</v>
      </c>
      <c r="C15" s="9" t="n">
        <v>14</v>
      </c>
      <c r="D15" s="10" t="s">
        <v>10</v>
      </c>
      <c r="E15" s="10" t="s">
        <v>116</v>
      </c>
      <c r="F15" s="10" t="s">
        <v>117</v>
      </c>
      <c r="G15" s="10" t="s">
        <v>118</v>
      </c>
      <c r="H15" s="10" t="s">
        <v>119</v>
      </c>
      <c r="I15" s="10" t="s">
        <v>120</v>
      </c>
      <c r="J15" s="10" t="s">
        <v>121</v>
      </c>
      <c r="K15" s="10" t="s">
        <v>50</v>
      </c>
      <c r="L15" s="10" t="str">
        <f aca="false">IFERROR(INDEX(Perfiles!$B$2:$B$5,MATCH(K15,Perfiles!$A$2:$A$5,0)),"")</f>
        <v>Cloud Computing</v>
      </c>
      <c r="M15" s="10"/>
      <c r="N15" s="10" t="s">
        <v>97</v>
      </c>
      <c r="O15" s="10" t="str">
        <f aca="false">IF(N15="Hecho","Sí","No")</f>
        <v>No</v>
      </c>
      <c r="P15" s="10" t="s">
        <v>122</v>
      </c>
    </row>
    <row r="16" customFormat="false" ht="15" hidden="false" customHeight="false" outlineLevel="0" collapsed="false">
      <c r="A16" s="9" t="s">
        <v>123</v>
      </c>
      <c r="B16" s="9" t="n">
        <v>1</v>
      </c>
      <c r="C16" s="9" t="n">
        <v>15</v>
      </c>
      <c r="D16" s="10" t="s">
        <v>10</v>
      </c>
      <c r="E16" s="10" t="s">
        <v>46</v>
      </c>
      <c r="F16" s="10" t="s">
        <v>124</v>
      </c>
      <c r="G16" s="10" t="s">
        <v>125</v>
      </c>
      <c r="H16" s="10" t="s">
        <v>126</v>
      </c>
      <c r="I16" s="10"/>
      <c r="J16" s="10" t="s">
        <v>127</v>
      </c>
      <c r="K16" s="10" t="s">
        <v>42</v>
      </c>
      <c r="L16" s="10" t="str">
        <f aca="false">IFERROR(INDEX(Perfiles!$B$2:$B$5,MATCH(K16,Perfiles!$A$2:$A$5,0)),"")</f>
        <v>ML / Analytics</v>
      </c>
      <c r="M16" s="10" t="s">
        <v>128</v>
      </c>
      <c r="N16" s="10" t="s">
        <v>43</v>
      </c>
      <c r="O16" s="10" t="str">
        <f aca="false">IF(N16="Hecho","Sí","No")</f>
        <v>Sí</v>
      </c>
      <c r="P16" s="10"/>
    </row>
    <row r="17" customFormat="false" ht="35.05" hidden="false" customHeight="false" outlineLevel="0" collapsed="false">
      <c r="A17" s="9" t="s">
        <v>129</v>
      </c>
      <c r="B17" s="9" t="n">
        <v>1</v>
      </c>
      <c r="C17" s="9" t="n">
        <v>16</v>
      </c>
      <c r="D17" s="10" t="s">
        <v>10</v>
      </c>
      <c r="E17" s="10" t="s">
        <v>46</v>
      </c>
      <c r="F17" s="10" t="s">
        <v>130</v>
      </c>
      <c r="G17" s="10" t="s">
        <v>131</v>
      </c>
      <c r="H17" s="10" t="s">
        <v>132</v>
      </c>
      <c r="I17" s="10" t="s">
        <v>133</v>
      </c>
      <c r="J17" s="10"/>
      <c r="K17" s="10" t="s">
        <v>42</v>
      </c>
      <c r="L17" s="10" t="str">
        <f aca="false">IFERROR(INDEX(Perfiles!$B$2:$B$5,MATCH(K17,Perfiles!$A$2:$A$5,0)),"")</f>
        <v>ML / Analytics</v>
      </c>
      <c r="M17" s="10" t="s">
        <v>128</v>
      </c>
      <c r="N17" s="10" t="s">
        <v>43</v>
      </c>
      <c r="O17" s="10" t="str">
        <f aca="false">IF(N17="Hecho","Sí","No")</f>
        <v>Sí</v>
      </c>
      <c r="P17" s="10" t="s">
        <v>134</v>
      </c>
    </row>
    <row r="18" customFormat="false" ht="15" hidden="false" customHeight="false" outlineLevel="0" collapsed="false">
      <c r="A18" s="9" t="s">
        <v>135</v>
      </c>
      <c r="B18" s="9" t="n">
        <v>1</v>
      </c>
      <c r="C18" s="9" t="n">
        <v>17</v>
      </c>
      <c r="D18" s="10" t="s">
        <v>10</v>
      </c>
      <c r="E18" s="10" t="s">
        <v>116</v>
      </c>
      <c r="F18" s="10" t="s">
        <v>136</v>
      </c>
      <c r="G18" s="10" t="s">
        <v>137</v>
      </c>
      <c r="H18" s="10" t="s">
        <v>138</v>
      </c>
      <c r="I18" s="10" t="s">
        <v>139</v>
      </c>
      <c r="J18" s="10"/>
      <c r="K18" s="10" t="s">
        <v>50</v>
      </c>
      <c r="L18" s="10" t="str">
        <f aca="false">IFERROR(INDEX(Perfiles!$B$2:$B$5,MATCH(K18,Perfiles!$A$2:$A$5,0)),"")</f>
        <v>Cloud Computing</v>
      </c>
      <c r="M18" s="10"/>
      <c r="N18" s="10" t="s">
        <v>140</v>
      </c>
      <c r="O18" s="10" t="str">
        <f aca="false">IF(N18="Hecho","Sí","No")</f>
        <v>No</v>
      </c>
      <c r="P18" s="10"/>
    </row>
    <row r="19" customFormat="false" ht="15" hidden="false" customHeight="false" outlineLevel="0" collapsed="false">
      <c r="A19" s="9" t="s">
        <v>141</v>
      </c>
      <c r="B19" s="9" t="n">
        <v>1</v>
      </c>
      <c r="C19" s="9" t="n">
        <v>18</v>
      </c>
      <c r="D19" s="10" t="s">
        <v>10</v>
      </c>
      <c r="E19" s="10" t="s">
        <v>46</v>
      </c>
      <c r="F19" s="10" t="s">
        <v>142</v>
      </c>
      <c r="G19" s="10" t="s">
        <v>143</v>
      </c>
      <c r="H19" s="10" t="s">
        <v>144</v>
      </c>
      <c r="I19" s="10" t="s">
        <v>145</v>
      </c>
      <c r="J19" s="10" t="s">
        <v>135</v>
      </c>
      <c r="K19" s="10" t="s">
        <v>50</v>
      </c>
      <c r="L19" s="10" t="str">
        <f aca="false">IFERROR(INDEX(Perfiles!$B$2:$B$5,MATCH(K19,Perfiles!$A$2:$A$5,0)),"")</f>
        <v>Cloud Computing</v>
      </c>
      <c r="M19" s="10" t="s">
        <v>128</v>
      </c>
      <c r="N19" s="10" t="s">
        <v>140</v>
      </c>
      <c r="O19" s="10" t="str">
        <f aca="false">IF(N19="Hecho","Sí","No")</f>
        <v>No</v>
      </c>
      <c r="P19" s="10" t="s">
        <v>146</v>
      </c>
    </row>
    <row r="20" customFormat="false" ht="35.05" hidden="false" customHeight="false" outlineLevel="0" collapsed="false">
      <c r="A20" s="9" t="s">
        <v>121</v>
      </c>
      <c r="B20" s="9" t="n">
        <v>1</v>
      </c>
      <c r="C20" s="9" t="n">
        <v>19</v>
      </c>
      <c r="D20" s="10" t="s">
        <v>10</v>
      </c>
      <c r="E20" s="10" t="s">
        <v>116</v>
      </c>
      <c r="F20" s="10" t="s">
        <v>147</v>
      </c>
      <c r="G20" s="10" t="s">
        <v>148</v>
      </c>
      <c r="H20" s="10" t="s">
        <v>149</v>
      </c>
      <c r="I20" s="10" t="s">
        <v>150</v>
      </c>
      <c r="J20" s="10"/>
      <c r="K20" s="10" t="s">
        <v>50</v>
      </c>
      <c r="L20" s="10" t="str">
        <f aca="false">IFERROR(INDEX(Perfiles!$B$2:$B$5,MATCH(K20,Perfiles!$A$2:$A$5,0)),"")</f>
        <v>Cloud Computing</v>
      </c>
      <c r="M20" s="10" t="s">
        <v>128</v>
      </c>
      <c r="N20" s="10" t="s">
        <v>43</v>
      </c>
      <c r="O20" s="10" t="str">
        <f aca="false">IF(N20="Hecho","Sí","No")</f>
        <v>Sí</v>
      </c>
      <c r="P20" s="10" t="s">
        <v>151</v>
      </c>
    </row>
    <row r="21" customFormat="false" ht="23.85" hidden="false" customHeight="false" outlineLevel="0" collapsed="false">
      <c r="A21" s="9" t="s">
        <v>152</v>
      </c>
      <c r="B21" s="9" t="n">
        <v>1</v>
      </c>
      <c r="C21" s="9" t="n">
        <v>20</v>
      </c>
      <c r="D21" s="10" t="s">
        <v>10</v>
      </c>
      <c r="E21" s="10" t="s">
        <v>116</v>
      </c>
      <c r="F21" s="10" t="s">
        <v>153</v>
      </c>
      <c r="G21" s="10" t="s">
        <v>154</v>
      </c>
      <c r="H21" s="10" t="s">
        <v>155</v>
      </c>
      <c r="I21" s="10" t="s">
        <v>156</v>
      </c>
      <c r="J21" s="10" t="s">
        <v>121</v>
      </c>
      <c r="K21" s="10" t="s">
        <v>50</v>
      </c>
      <c r="L21" s="10" t="str">
        <f aca="false">IFERROR(INDEX(Perfiles!$B$2:$B$5,MATCH(K21,Perfiles!$A$2:$A$5,0)),"")</f>
        <v>Cloud Computing</v>
      </c>
      <c r="M21" s="10" t="s">
        <v>41</v>
      </c>
      <c r="N21" s="10" t="s">
        <v>97</v>
      </c>
      <c r="O21" s="10" t="str">
        <f aca="false">IF(N21="Hecho","Sí","No")</f>
        <v>No</v>
      </c>
      <c r="P21" s="10" t="s">
        <v>157</v>
      </c>
    </row>
    <row r="22" customFormat="false" ht="15" hidden="false" customHeight="false" outlineLevel="0" collapsed="false">
      <c r="A22" s="9" t="s">
        <v>158</v>
      </c>
      <c r="B22" s="9" t="n">
        <v>1</v>
      </c>
      <c r="C22" s="9" t="n">
        <v>21</v>
      </c>
      <c r="D22" s="10" t="s">
        <v>10</v>
      </c>
      <c r="E22" s="10" t="s">
        <v>46</v>
      </c>
      <c r="F22" s="10" t="s">
        <v>159</v>
      </c>
      <c r="G22" s="10" t="s">
        <v>160</v>
      </c>
      <c r="H22" s="10" t="s">
        <v>161</v>
      </c>
      <c r="I22" s="10"/>
      <c r="J22" s="10" t="s">
        <v>123</v>
      </c>
      <c r="K22" s="10" t="s">
        <v>42</v>
      </c>
      <c r="L22" s="10" t="str">
        <f aca="false">IFERROR(INDEX(Perfiles!$B$2:$B$5,MATCH(K22,Perfiles!$A$2:$A$5,0)),"")</f>
        <v>ML / Analytics</v>
      </c>
      <c r="M22" s="10" t="s">
        <v>128</v>
      </c>
      <c r="N22" s="10" t="s">
        <v>140</v>
      </c>
      <c r="O22" s="10" t="str">
        <f aca="false">IF(N22="Hecho","Sí","No")</f>
        <v>No</v>
      </c>
      <c r="P22" s="10"/>
    </row>
    <row r="23" customFormat="false" ht="23.85" hidden="false" customHeight="false" outlineLevel="0" collapsed="false">
      <c r="A23" s="11" t="s">
        <v>96</v>
      </c>
      <c r="B23" s="11" t="n">
        <v>2</v>
      </c>
      <c r="C23" s="11" t="n">
        <v>1</v>
      </c>
      <c r="D23" s="10" t="s">
        <v>12</v>
      </c>
      <c r="E23" s="10" t="s">
        <v>116</v>
      </c>
      <c r="F23" s="10" t="s">
        <v>162</v>
      </c>
      <c r="G23" s="10" t="s">
        <v>163</v>
      </c>
      <c r="H23" s="10" t="s">
        <v>164</v>
      </c>
      <c r="I23" s="10" t="s">
        <v>165</v>
      </c>
      <c r="J23" s="10" t="s">
        <v>135</v>
      </c>
      <c r="K23" s="10" t="s">
        <v>50</v>
      </c>
      <c r="L23" s="10" t="str">
        <f aca="false">IFERROR(INDEX(Perfiles!$B$2:$B$5,MATCH(K23,Perfiles!$A$2:$A$5,0)),"")</f>
        <v>Cloud Computing</v>
      </c>
      <c r="M23" s="10"/>
      <c r="N23" s="10" t="s">
        <v>140</v>
      </c>
      <c r="O23" s="10" t="str">
        <f aca="false">IF(N23="Hecho","Sí","No")</f>
        <v>No</v>
      </c>
      <c r="P23" s="10"/>
    </row>
    <row r="24" customFormat="false" ht="23.85" hidden="false" customHeight="false" outlineLevel="0" collapsed="false">
      <c r="A24" s="11" t="s">
        <v>166</v>
      </c>
      <c r="B24" s="11" t="n">
        <v>2</v>
      </c>
      <c r="C24" s="11" t="n">
        <v>2</v>
      </c>
      <c r="D24" s="10" t="s">
        <v>12</v>
      </c>
      <c r="E24" s="10" t="s">
        <v>37</v>
      </c>
      <c r="F24" s="10" t="s">
        <v>167</v>
      </c>
      <c r="G24" s="10" t="s">
        <v>168</v>
      </c>
      <c r="H24" s="10" t="s">
        <v>169</v>
      </c>
      <c r="I24" s="10" t="s">
        <v>170</v>
      </c>
      <c r="J24" s="10" t="s">
        <v>96</v>
      </c>
      <c r="K24" s="10" t="s">
        <v>41</v>
      </c>
      <c r="L24" s="10" t="str">
        <f aca="false">IFERROR(INDEX(Perfiles!$B$2:$B$5,MATCH(K24,Perfiles!$A$2:$A$5,0)),"")</f>
        <v>Datos + API + Modelado</v>
      </c>
      <c r="M24" s="10" t="s">
        <v>50</v>
      </c>
      <c r="N24" s="10" t="s">
        <v>140</v>
      </c>
      <c r="O24" s="10" t="str">
        <f aca="false">IF(N24="Hecho","Sí","No")</f>
        <v>No</v>
      </c>
      <c r="P24" s="10" t="s">
        <v>171</v>
      </c>
    </row>
    <row r="25" customFormat="false" ht="23.85" hidden="false" customHeight="false" outlineLevel="0" collapsed="false">
      <c r="A25" s="11" t="s">
        <v>172</v>
      </c>
      <c r="B25" s="11" t="n">
        <v>2</v>
      </c>
      <c r="C25" s="11" t="n">
        <v>3</v>
      </c>
      <c r="D25" s="10" t="s">
        <v>12</v>
      </c>
      <c r="E25" s="10" t="s">
        <v>37</v>
      </c>
      <c r="F25" s="10" t="s">
        <v>173</v>
      </c>
      <c r="G25" s="10" t="s">
        <v>174</v>
      </c>
      <c r="H25" s="10" t="s">
        <v>175</v>
      </c>
      <c r="I25" s="10" t="s">
        <v>176</v>
      </c>
      <c r="J25" s="10" t="s">
        <v>166</v>
      </c>
      <c r="K25" s="10" t="s">
        <v>41</v>
      </c>
      <c r="L25" s="10" t="str">
        <f aca="false">IFERROR(INDEX(Perfiles!$B$2:$B$5,MATCH(K25,Perfiles!$A$2:$A$5,0)),"")</f>
        <v>Datos + API + Modelado</v>
      </c>
      <c r="M25" s="10" t="s">
        <v>50</v>
      </c>
      <c r="N25" s="10" t="s">
        <v>97</v>
      </c>
      <c r="O25" s="10" t="str">
        <f aca="false">IF(N25="Hecho","Sí","No")</f>
        <v>No</v>
      </c>
      <c r="P25" s="10" t="s">
        <v>177</v>
      </c>
    </row>
    <row r="26" customFormat="false" ht="23.85" hidden="false" customHeight="false" outlineLevel="0" collapsed="false">
      <c r="A26" s="11" t="s">
        <v>178</v>
      </c>
      <c r="B26" s="11" t="n">
        <v>2</v>
      </c>
      <c r="C26" s="11" t="n">
        <v>4</v>
      </c>
      <c r="D26" s="10" t="s">
        <v>12</v>
      </c>
      <c r="E26" s="10" t="s">
        <v>37</v>
      </c>
      <c r="F26" s="10" t="s">
        <v>179</v>
      </c>
      <c r="G26" s="10" t="s">
        <v>180</v>
      </c>
      <c r="H26" s="10" t="s">
        <v>181</v>
      </c>
      <c r="I26" s="10" t="s">
        <v>176</v>
      </c>
      <c r="J26" s="10" t="s">
        <v>172</v>
      </c>
      <c r="K26" s="10" t="s">
        <v>41</v>
      </c>
      <c r="L26" s="10" t="str">
        <f aca="false">IFERROR(INDEX(Perfiles!$B$2:$B$5,MATCH(K26,Perfiles!$A$2:$A$5,0)),"")</f>
        <v>Datos + API + Modelado</v>
      </c>
      <c r="M26" s="10"/>
      <c r="N26" s="10" t="s">
        <v>97</v>
      </c>
      <c r="O26" s="10" t="str">
        <f aca="false">IF(N26="Hecho","Sí","No")</f>
        <v>No</v>
      </c>
      <c r="P26" s="10"/>
    </row>
    <row r="27" customFormat="false" ht="23.85" hidden="false" customHeight="false" outlineLevel="0" collapsed="false">
      <c r="A27" s="11" t="s">
        <v>182</v>
      </c>
      <c r="B27" s="11" t="n">
        <v>2</v>
      </c>
      <c r="C27" s="11" t="n">
        <v>5</v>
      </c>
      <c r="D27" s="10" t="s">
        <v>12</v>
      </c>
      <c r="E27" s="10" t="s">
        <v>183</v>
      </c>
      <c r="F27" s="10" t="s">
        <v>184</v>
      </c>
      <c r="G27" s="10" t="s">
        <v>185</v>
      </c>
      <c r="H27" s="10" t="s">
        <v>186</v>
      </c>
      <c r="I27" s="10" t="s">
        <v>187</v>
      </c>
      <c r="J27" s="10" t="s">
        <v>178</v>
      </c>
      <c r="K27" s="10" t="s">
        <v>41</v>
      </c>
      <c r="L27" s="10" t="str">
        <f aca="false">IFERROR(INDEX(Perfiles!$B$2:$B$5,MATCH(K27,Perfiles!$A$2:$A$5,0)),"")</f>
        <v>Datos + API + Modelado</v>
      </c>
      <c r="M27" s="10" t="s">
        <v>42</v>
      </c>
      <c r="N27" s="10" t="s">
        <v>97</v>
      </c>
      <c r="O27" s="10" t="str">
        <f aca="false">IF(N27="Hecho","Sí","No")</f>
        <v>No</v>
      </c>
      <c r="P27" s="10"/>
    </row>
    <row r="28" customFormat="false" ht="23.85" hidden="false" customHeight="false" outlineLevel="0" collapsed="false">
      <c r="A28" s="11" t="s">
        <v>188</v>
      </c>
      <c r="B28" s="11" t="n">
        <v>2</v>
      </c>
      <c r="C28" s="11" t="n">
        <v>6</v>
      </c>
      <c r="D28" s="10" t="s">
        <v>12</v>
      </c>
      <c r="E28" s="10" t="s">
        <v>189</v>
      </c>
      <c r="F28" s="10" t="s">
        <v>190</v>
      </c>
      <c r="G28" s="10" t="s">
        <v>191</v>
      </c>
      <c r="H28" s="10" t="s">
        <v>192</v>
      </c>
      <c r="I28" s="10" t="s">
        <v>193</v>
      </c>
      <c r="J28" s="10" t="s">
        <v>96</v>
      </c>
      <c r="K28" s="10" t="s">
        <v>50</v>
      </c>
      <c r="L28" s="10" t="str">
        <f aca="false">IFERROR(INDEX(Perfiles!$B$2:$B$5,MATCH(K28,Perfiles!$A$2:$A$5,0)),"")</f>
        <v>Cloud Computing</v>
      </c>
      <c r="M28" s="10"/>
      <c r="N28" s="10" t="s">
        <v>97</v>
      </c>
      <c r="O28" s="10" t="str">
        <f aca="false">IF(N28="Hecho","Sí","No")</f>
        <v>No</v>
      </c>
      <c r="P28" s="10" t="s">
        <v>194</v>
      </c>
    </row>
    <row r="29" customFormat="false" ht="23.85" hidden="false" customHeight="false" outlineLevel="0" collapsed="false">
      <c r="A29" s="11" t="s">
        <v>195</v>
      </c>
      <c r="B29" s="11" t="n">
        <v>2</v>
      </c>
      <c r="C29" s="11" t="n">
        <v>7</v>
      </c>
      <c r="D29" s="10" t="s">
        <v>12</v>
      </c>
      <c r="E29" s="10" t="s">
        <v>189</v>
      </c>
      <c r="F29" s="10" t="s">
        <v>196</v>
      </c>
      <c r="G29" s="10" t="s">
        <v>197</v>
      </c>
      <c r="H29" s="10" t="s">
        <v>198</v>
      </c>
      <c r="I29" s="10"/>
      <c r="J29" s="10" t="s">
        <v>96</v>
      </c>
      <c r="K29" s="10" t="s">
        <v>50</v>
      </c>
      <c r="L29" s="10" t="str">
        <f aca="false">IFERROR(INDEX(Perfiles!$B$2:$B$5,MATCH(K29,Perfiles!$A$2:$A$5,0)),"")</f>
        <v>Cloud Computing</v>
      </c>
      <c r="M29" s="10"/>
      <c r="N29" s="10" t="s">
        <v>97</v>
      </c>
      <c r="O29" s="10" t="str">
        <f aca="false">IF(N29="Hecho","Sí","No")</f>
        <v>No</v>
      </c>
      <c r="P29" s="10"/>
    </row>
    <row r="30" customFormat="false" ht="23.85" hidden="false" customHeight="false" outlineLevel="0" collapsed="false">
      <c r="A30" s="11" t="s">
        <v>199</v>
      </c>
      <c r="B30" s="11" t="n">
        <v>2</v>
      </c>
      <c r="C30" s="11" t="n">
        <v>8</v>
      </c>
      <c r="D30" s="10" t="s">
        <v>12</v>
      </c>
      <c r="E30" s="10" t="s">
        <v>189</v>
      </c>
      <c r="F30" s="10" t="s">
        <v>200</v>
      </c>
      <c r="G30" s="10" t="s">
        <v>201</v>
      </c>
      <c r="H30" s="10" t="s">
        <v>202</v>
      </c>
      <c r="I30" s="10" t="s">
        <v>203</v>
      </c>
      <c r="J30" s="10" t="s">
        <v>188</v>
      </c>
      <c r="K30" s="10" t="s">
        <v>50</v>
      </c>
      <c r="L30" s="10" t="str">
        <f aca="false">IFERROR(INDEX(Perfiles!$B$2:$B$5,MATCH(K30,Perfiles!$A$2:$A$5,0)),"")</f>
        <v>Cloud Computing</v>
      </c>
      <c r="M30" s="10" t="s">
        <v>41</v>
      </c>
      <c r="N30" s="10" t="s">
        <v>97</v>
      </c>
      <c r="O30" s="10" t="str">
        <f aca="false">IF(N30="Hecho","Sí","No")</f>
        <v>No</v>
      </c>
      <c r="P30" s="10" t="s">
        <v>204</v>
      </c>
    </row>
    <row r="31" customFormat="false" ht="23.85" hidden="false" customHeight="false" outlineLevel="0" collapsed="false">
      <c r="A31" s="11" t="s">
        <v>205</v>
      </c>
      <c r="B31" s="11" t="n">
        <v>2</v>
      </c>
      <c r="C31" s="11" t="n">
        <v>9</v>
      </c>
      <c r="D31" s="10" t="s">
        <v>12</v>
      </c>
      <c r="E31" s="10" t="s">
        <v>206</v>
      </c>
      <c r="F31" s="10" t="s">
        <v>207</v>
      </c>
      <c r="G31" s="10" t="s">
        <v>208</v>
      </c>
      <c r="H31" s="10" t="s">
        <v>186</v>
      </c>
      <c r="I31" s="10" t="s">
        <v>187</v>
      </c>
      <c r="J31" s="10" t="s">
        <v>182</v>
      </c>
      <c r="K31" s="10" t="s">
        <v>42</v>
      </c>
      <c r="L31" s="10" t="str">
        <f aca="false">IFERROR(INDEX(Perfiles!$B$2:$B$5,MATCH(K31,Perfiles!$A$2:$A$5,0)),"")</f>
        <v>ML / Analytics</v>
      </c>
      <c r="M31" s="10" t="s">
        <v>41</v>
      </c>
      <c r="N31" s="10" t="s">
        <v>97</v>
      </c>
      <c r="O31" s="10" t="str">
        <f aca="false">IF(N31="Hecho","Sí","No")</f>
        <v>No</v>
      </c>
      <c r="P31" s="10"/>
    </row>
    <row r="32" customFormat="false" ht="23.85" hidden="false" customHeight="false" outlineLevel="0" collapsed="false">
      <c r="A32" s="11" t="s">
        <v>209</v>
      </c>
      <c r="B32" s="11" t="n">
        <v>2</v>
      </c>
      <c r="C32" s="11" t="n">
        <v>10</v>
      </c>
      <c r="D32" s="10" t="s">
        <v>12</v>
      </c>
      <c r="E32" s="10" t="s">
        <v>206</v>
      </c>
      <c r="F32" s="10" t="s">
        <v>210</v>
      </c>
      <c r="G32" s="10" t="s">
        <v>211</v>
      </c>
      <c r="H32" s="10" t="s">
        <v>212</v>
      </c>
      <c r="I32" s="10" t="s">
        <v>213</v>
      </c>
      <c r="J32" s="10"/>
      <c r="K32" s="10" t="s">
        <v>42</v>
      </c>
      <c r="L32" s="10" t="str">
        <f aca="false">IFERROR(INDEX(Perfiles!$B$2:$B$5,MATCH(K32,Perfiles!$A$2:$A$5,0)),"")</f>
        <v>ML / Analytics</v>
      </c>
      <c r="M32" s="10"/>
      <c r="N32" s="10" t="s">
        <v>43</v>
      </c>
      <c r="O32" s="10" t="str">
        <f aca="false">IF(N32="Hecho","Sí","No")</f>
        <v>Sí</v>
      </c>
      <c r="P32" s="10" t="s">
        <v>214</v>
      </c>
    </row>
    <row r="33" customFormat="false" ht="23.85" hidden="false" customHeight="false" outlineLevel="0" collapsed="false">
      <c r="A33" s="11" t="s">
        <v>215</v>
      </c>
      <c r="B33" s="11" t="n">
        <v>2</v>
      </c>
      <c r="C33" s="11" t="n">
        <v>11</v>
      </c>
      <c r="D33" s="10" t="s">
        <v>12</v>
      </c>
      <c r="E33" s="10" t="s">
        <v>37</v>
      </c>
      <c r="F33" s="10" t="s">
        <v>216</v>
      </c>
      <c r="G33" s="10" t="s">
        <v>217</v>
      </c>
      <c r="H33" s="10" t="s">
        <v>218</v>
      </c>
      <c r="I33" s="10"/>
      <c r="J33" s="10"/>
      <c r="K33" s="10" t="s">
        <v>41</v>
      </c>
      <c r="L33" s="10" t="str">
        <f aca="false">IFERROR(INDEX(Perfiles!$B$2:$B$5,MATCH(K33,Perfiles!$A$2:$A$5,0)),"")</f>
        <v>Datos + API + Modelado</v>
      </c>
      <c r="M33" s="10"/>
      <c r="N33" s="10" t="s">
        <v>43</v>
      </c>
      <c r="O33" s="10" t="str">
        <f aca="false">IF(N33="Hecho","Sí","No")</f>
        <v>Sí</v>
      </c>
      <c r="P33" s="10"/>
    </row>
    <row r="34" customFormat="false" ht="23.85" hidden="false" customHeight="false" outlineLevel="0" collapsed="false">
      <c r="A34" s="11" t="s">
        <v>219</v>
      </c>
      <c r="B34" s="11" t="n">
        <v>2</v>
      </c>
      <c r="C34" s="11" t="n">
        <v>12</v>
      </c>
      <c r="D34" s="10" t="s">
        <v>12</v>
      </c>
      <c r="E34" s="10" t="s">
        <v>105</v>
      </c>
      <c r="F34" s="10" t="s">
        <v>220</v>
      </c>
      <c r="G34" s="10" t="s">
        <v>221</v>
      </c>
      <c r="H34" s="10" t="s">
        <v>222</v>
      </c>
      <c r="I34" s="10" t="s">
        <v>187</v>
      </c>
      <c r="J34" s="10" t="s">
        <v>182</v>
      </c>
      <c r="K34" s="10" t="s">
        <v>69</v>
      </c>
      <c r="L34" s="10" t="str">
        <f aca="false">IFERROR(INDEX(Perfiles!$B$2:$B$5,MATCH(K34,Perfiles!$A$2:$A$5,0)),"")</f>
        <v>Dashboard / BI</v>
      </c>
      <c r="M34" s="10" t="s">
        <v>41</v>
      </c>
      <c r="N34" s="10" t="s">
        <v>97</v>
      </c>
      <c r="O34" s="10" t="str">
        <f aca="false">IF(N34="Hecho","Sí","No")</f>
        <v>No</v>
      </c>
      <c r="P34" s="10"/>
    </row>
    <row r="35" customFormat="false" ht="15" hidden="false" customHeight="false" outlineLevel="0" collapsed="false">
      <c r="A35" s="11" t="s">
        <v>223</v>
      </c>
      <c r="B35" s="11" t="n">
        <v>2</v>
      </c>
      <c r="C35" s="11" t="n">
        <v>13</v>
      </c>
      <c r="D35" s="10" t="s">
        <v>12</v>
      </c>
      <c r="E35" s="10" t="s">
        <v>105</v>
      </c>
      <c r="F35" s="10" t="s">
        <v>224</v>
      </c>
      <c r="G35" s="10" t="s">
        <v>225</v>
      </c>
      <c r="H35" s="10" t="s">
        <v>226</v>
      </c>
      <c r="I35" s="10"/>
      <c r="J35" s="10" t="s">
        <v>219</v>
      </c>
      <c r="K35" s="10" t="s">
        <v>69</v>
      </c>
      <c r="L35" s="10" t="str">
        <f aca="false">IFERROR(INDEX(Perfiles!$B$2:$B$5,MATCH(K35,Perfiles!$A$2:$A$5,0)),"")</f>
        <v>Dashboard / BI</v>
      </c>
      <c r="M35" s="10"/>
      <c r="N35" s="10" t="s">
        <v>140</v>
      </c>
      <c r="O35" s="10" t="str">
        <f aca="false">IF(N35="Hecho","Sí","No")</f>
        <v>No</v>
      </c>
      <c r="P35" s="10"/>
    </row>
    <row r="36" customFormat="false" ht="15" hidden="false" customHeight="false" outlineLevel="0" collapsed="false">
      <c r="A36" s="11" t="s">
        <v>227</v>
      </c>
      <c r="B36" s="11" t="n">
        <v>2</v>
      </c>
      <c r="C36" s="11" t="n">
        <v>14</v>
      </c>
      <c r="D36" s="10" t="s">
        <v>12</v>
      </c>
      <c r="E36" s="10" t="s">
        <v>46</v>
      </c>
      <c r="F36" s="10" t="s">
        <v>228</v>
      </c>
      <c r="G36" s="10" t="s">
        <v>229</v>
      </c>
      <c r="H36" s="10" t="s">
        <v>230</v>
      </c>
      <c r="I36" s="10"/>
      <c r="J36" s="10" t="s">
        <v>231</v>
      </c>
      <c r="K36" s="10" t="s">
        <v>42</v>
      </c>
      <c r="L36" s="10" t="str">
        <f aca="false">IFERROR(INDEX(Perfiles!$B$2:$B$5,MATCH(K36,Perfiles!$A$2:$A$5,0)),"")</f>
        <v>ML / Analytics</v>
      </c>
      <c r="M36" s="10" t="s">
        <v>128</v>
      </c>
      <c r="N36" s="10" t="s">
        <v>140</v>
      </c>
      <c r="O36" s="10" t="str">
        <f aca="false">IF(N36="Hecho","Sí","No")</f>
        <v>No</v>
      </c>
      <c r="P36" s="10"/>
    </row>
    <row r="37" customFormat="false" ht="23.85" hidden="false" customHeight="false" outlineLevel="0" collapsed="false">
      <c r="A37" s="12" t="s">
        <v>232</v>
      </c>
      <c r="B37" s="12" t="n">
        <v>3</v>
      </c>
      <c r="C37" s="12" t="n">
        <v>1</v>
      </c>
      <c r="D37" s="10" t="s">
        <v>14</v>
      </c>
      <c r="E37" s="10" t="s">
        <v>233</v>
      </c>
      <c r="F37" s="10" t="s">
        <v>234</v>
      </c>
      <c r="G37" s="10" t="s">
        <v>235</v>
      </c>
      <c r="H37" s="10" t="s">
        <v>236</v>
      </c>
      <c r="I37" s="10" t="s">
        <v>237</v>
      </c>
      <c r="J37" s="10"/>
      <c r="K37" s="10" t="s">
        <v>41</v>
      </c>
      <c r="L37" s="10" t="str">
        <f aca="false">IFERROR(INDEX(Perfiles!$B$2:$B$5,MATCH(K37,Perfiles!$A$2:$A$5,0)),"")</f>
        <v>Datos + API + Modelado</v>
      </c>
      <c r="M37" s="10" t="s">
        <v>50</v>
      </c>
      <c r="N37" s="10" t="s">
        <v>97</v>
      </c>
      <c r="O37" s="10" t="str">
        <f aca="false">IF(N37="Hecho","Sí","No")</f>
        <v>No</v>
      </c>
      <c r="P37" s="10" t="s">
        <v>238</v>
      </c>
    </row>
    <row r="38" customFormat="false" ht="23.85" hidden="false" customHeight="false" outlineLevel="0" collapsed="false">
      <c r="A38" s="12" t="s">
        <v>239</v>
      </c>
      <c r="B38" s="12" t="n">
        <v>3</v>
      </c>
      <c r="C38" s="12" t="n">
        <v>2</v>
      </c>
      <c r="D38" s="10" t="s">
        <v>14</v>
      </c>
      <c r="E38" s="10" t="s">
        <v>233</v>
      </c>
      <c r="F38" s="10" t="s">
        <v>240</v>
      </c>
      <c r="G38" s="10" t="s">
        <v>241</v>
      </c>
      <c r="H38" s="10" t="s">
        <v>242</v>
      </c>
      <c r="I38" s="10" t="s">
        <v>243</v>
      </c>
      <c r="J38" s="10"/>
      <c r="K38" s="10" t="s">
        <v>41</v>
      </c>
      <c r="L38" s="10" t="str">
        <f aca="false">IFERROR(INDEX(Perfiles!$B$2:$B$5,MATCH(K38,Perfiles!$A$2:$A$5,0)),"")</f>
        <v>Datos + API + Modelado</v>
      </c>
      <c r="M38" s="10"/>
      <c r="N38" s="10" t="s">
        <v>97</v>
      </c>
      <c r="O38" s="10" t="str">
        <f aca="false">IF(N38="Hecho","Sí","No")</f>
        <v>No</v>
      </c>
      <c r="P38" s="10" t="s">
        <v>244</v>
      </c>
    </row>
    <row r="39" customFormat="false" ht="23.85" hidden="false" customHeight="false" outlineLevel="0" collapsed="false">
      <c r="A39" s="12" t="s">
        <v>245</v>
      </c>
      <c r="B39" s="12" t="n">
        <v>3</v>
      </c>
      <c r="C39" s="12" t="n">
        <v>3</v>
      </c>
      <c r="D39" s="10" t="s">
        <v>14</v>
      </c>
      <c r="E39" s="10" t="s">
        <v>206</v>
      </c>
      <c r="F39" s="10" t="s">
        <v>246</v>
      </c>
      <c r="G39" s="10" t="s">
        <v>247</v>
      </c>
      <c r="H39" s="10" t="s">
        <v>248</v>
      </c>
      <c r="I39" s="10" t="s">
        <v>249</v>
      </c>
      <c r="J39" s="10" t="s">
        <v>96</v>
      </c>
      <c r="K39" s="10" t="s">
        <v>42</v>
      </c>
      <c r="L39" s="10" t="str">
        <f aca="false">IFERROR(INDEX(Perfiles!$B$2:$B$5,MATCH(K39,Perfiles!$A$2:$A$5,0)),"")</f>
        <v>ML / Analytics</v>
      </c>
      <c r="M39" s="10" t="s">
        <v>41</v>
      </c>
      <c r="N39" s="10" t="s">
        <v>97</v>
      </c>
      <c r="O39" s="10" t="str">
        <f aca="false">IF(N39="Hecho","Sí","No")</f>
        <v>No</v>
      </c>
      <c r="P39" s="10" t="s">
        <v>250</v>
      </c>
    </row>
    <row r="40" customFormat="false" ht="23.85" hidden="false" customHeight="false" outlineLevel="0" collapsed="false">
      <c r="A40" s="12" t="s">
        <v>251</v>
      </c>
      <c r="B40" s="12" t="n">
        <v>3</v>
      </c>
      <c r="C40" s="12" t="n">
        <v>4</v>
      </c>
      <c r="D40" s="10" t="s">
        <v>14</v>
      </c>
      <c r="E40" s="10" t="s">
        <v>206</v>
      </c>
      <c r="F40" s="10" t="s">
        <v>252</v>
      </c>
      <c r="G40" s="10" t="s">
        <v>253</v>
      </c>
      <c r="H40" s="10" t="s">
        <v>236</v>
      </c>
      <c r="I40" s="10"/>
      <c r="J40" s="10"/>
      <c r="K40" s="10" t="s">
        <v>42</v>
      </c>
      <c r="L40" s="10" t="str">
        <f aca="false">IFERROR(INDEX(Perfiles!$B$2:$B$5,MATCH(K40,Perfiles!$A$2:$A$5,0)),"")</f>
        <v>ML / Analytics</v>
      </c>
      <c r="M40" s="10"/>
      <c r="N40" s="10" t="s">
        <v>97</v>
      </c>
      <c r="O40" s="10" t="str">
        <f aca="false">IF(N40="Hecho","Sí","No")</f>
        <v>No</v>
      </c>
      <c r="P40" s="10"/>
    </row>
    <row r="41" customFormat="false" ht="23.85" hidden="false" customHeight="false" outlineLevel="0" collapsed="false">
      <c r="A41" s="12" t="s">
        <v>254</v>
      </c>
      <c r="B41" s="12" t="n">
        <v>3</v>
      </c>
      <c r="C41" s="12" t="n">
        <v>5</v>
      </c>
      <c r="D41" s="10" t="s">
        <v>14</v>
      </c>
      <c r="E41" s="10" t="s">
        <v>233</v>
      </c>
      <c r="F41" s="10" t="s">
        <v>255</v>
      </c>
      <c r="G41" s="10" t="s">
        <v>256</v>
      </c>
      <c r="H41" s="10" t="s">
        <v>257</v>
      </c>
      <c r="I41" s="10" t="s">
        <v>237</v>
      </c>
      <c r="J41" s="10"/>
      <c r="K41" s="10" t="s">
        <v>41</v>
      </c>
      <c r="L41" s="10" t="str">
        <f aca="false">IFERROR(INDEX(Perfiles!$B$2:$B$5,MATCH(K41,Perfiles!$A$2:$A$5,0)),"")</f>
        <v>Datos + API + Modelado</v>
      </c>
      <c r="M41" s="10" t="s">
        <v>69</v>
      </c>
      <c r="N41" s="10" t="s">
        <v>97</v>
      </c>
      <c r="O41" s="10" t="str">
        <f aca="false">IF(N41="Hecho","Sí","No")</f>
        <v>No</v>
      </c>
      <c r="P41" s="10"/>
    </row>
    <row r="42" customFormat="false" ht="23.85" hidden="false" customHeight="false" outlineLevel="0" collapsed="false">
      <c r="A42" s="12" t="s">
        <v>258</v>
      </c>
      <c r="B42" s="12" t="n">
        <v>3</v>
      </c>
      <c r="C42" s="12" t="n">
        <v>6</v>
      </c>
      <c r="D42" s="10" t="s">
        <v>14</v>
      </c>
      <c r="E42" s="10" t="s">
        <v>116</v>
      </c>
      <c r="F42" s="10" t="s">
        <v>259</v>
      </c>
      <c r="G42" s="10" t="s">
        <v>260</v>
      </c>
      <c r="H42" s="10" t="s">
        <v>261</v>
      </c>
      <c r="I42" s="10" t="s">
        <v>262</v>
      </c>
      <c r="J42" s="10" t="s">
        <v>96</v>
      </c>
      <c r="K42" s="10" t="s">
        <v>50</v>
      </c>
      <c r="L42" s="10" t="str">
        <f aca="false">IFERROR(INDEX(Perfiles!$B$2:$B$5,MATCH(K42,Perfiles!$A$2:$A$5,0)),"")</f>
        <v>Cloud Computing</v>
      </c>
      <c r="M42" s="10"/>
      <c r="N42" s="10" t="s">
        <v>97</v>
      </c>
      <c r="O42" s="10" t="str">
        <f aca="false">IF(N42="Hecho","Sí","No")</f>
        <v>No</v>
      </c>
      <c r="P42" s="10" t="s">
        <v>263</v>
      </c>
    </row>
    <row r="43" customFormat="false" ht="23.85" hidden="false" customHeight="false" outlineLevel="0" collapsed="false">
      <c r="A43" s="12" t="s">
        <v>264</v>
      </c>
      <c r="B43" s="12" t="n">
        <v>3</v>
      </c>
      <c r="C43" s="12" t="n">
        <v>7</v>
      </c>
      <c r="D43" s="10" t="s">
        <v>14</v>
      </c>
      <c r="E43" s="10" t="s">
        <v>116</v>
      </c>
      <c r="F43" s="10" t="s">
        <v>265</v>
      </c>
      <c r="G43" s="10" t="s">
        <v>266</v>
      </c>
      <c r="H43" s="10" t="s">
        <v>267</v>
      </c>
      <c r="I43" s="10" t="s">
        <v>268</v>
      </c>
      <c r="J43" s="10" t="s">
        <v>141</v>
      </c>
      <c r="K43" s="10" t="s">
        <v>50</v>
      </c>
      <c r="L43" s="10" t="str">
        <f aca="false">IFERROR(INDEX(Perfiles!$B$2:$B$5,MATCH(K43,Perfiles!$A$2:$A$5,0)),"")</f>
        <v>Cloud Computing</v>
      </c>
      <c r="M43" s="10"/>
      <c r="N43" s="10" t="s">
        <v>97</v>
      </c>
      <c r="O43" s="10" t="str">
        <f aca="false">IF(N43="Hecho","Sí","No")</f>
        <v>No</v>
      </c>
      <c r="P43" s="10"/>
    </row>
    <row r="44" customFormat="false" ht="23.85" hidden="false" customHeight="false" outlineLevel="0" collapsed="false">
      <c r="A44" s="12" t="s">
        <v>269</v>
      </c>
      <c r="B44" s="12" t="n">
        <v>3</v>
      </c>
      <c r="C44" s="12" t="n">
        <v>8</v>
      </c>
      <c r="D44" s="10" t="s">
        <v>14</v>
      </c>
      <c r="E44" s="10" t="s">
        <v>37</v>
      </c>
      <c r="F44" s="10" t="s">
        <v>270</v>
      </c>
      <c r="G44" s="10" t="s">
        <v>271</v>
      </c>
      <c r="H44" s="10" t="s">
        <v>272</v>
      </c>
      <c r="I44" s="10" t="s">
        <v>273</v>
      </c>
      <c r="J44" s="10" t="s">
        <v>274</v>
      </c>
      <c r="K44" s="10" t="s">
        <v>41</v>
      </c>
      <c r="L44" s="10" t="str">
        <f aca="false">IFERROR(INDEX(Perfiles!$B$2:$B$5,MATCH(K44,Perfiles!$A$2:$A$5,0)),"")</f>
        <v>Datos + API + Modelado</v>
      </c>
      <c r="M44" s="10" t="s">
        <v>50</v>
      </c>
      <c r="N44" s="10" t="s">
        <v>140</v>
      </c>
      <c r="O44" s="10" t="str">
        <f aca="false">IF(N44="Hecho","Sí","No")</f>
        <v>No</v>
      </c>
      <c r="P44" s="10" t="s">
        <v>275</v>
      </c>
    </row>
    <row r="45" customFormat="false" ht="15" hidden="false" customHeight="false" outlineLevel="0" collapsed="false">
      <c r="A45" s="12" t="s">
        <v>276</v>
      </c>
      <c r="B45" s="12" t="n">
        <v>3</v>
      </c>
      <c r="C45" s="12" t="n">
        <v>9</v>
      </c>
      <c r="D45" s="10" t="s">
        <v>14</v>
      </c>
      <c r="E45" s="10" t="s">
        <v>105</v>
      </c>
      <c r="F45" s="10" t="s">
        <v>277</v>
      </c>
      <c r="G45" s="10" t="s">
        <v>278</v>
      </c>
      <c r="H45" s="10" t="s">
        <v>279</v>
      </c>
      <c r="I45" s="10"/>
      <c r="J45" s="10" t="s">
        <v>219</v>
      </c>
      <c r="K45" s="10" t="s">
        <v>69</v>
      </c>
      <c r="L45" s="10" t="str">
        <f aca="false">IFERROR(INDEX(Perfiles!$B$2:$B$5,MATCH(K45,Perfiles!$A$2:$A$5,0)),"")</f>
        <v>Dashboard / BI</v>
      </c>
      <c r="M45" s="10" t="s">
        <v>42</v>
      </c>
      <c r="N45" s="10" t="s">
        <v>140</v>
      </c>
      <c r="O45" s="10" t="str">
        <f aca="false">IF(N45="Hecho","Sí","No")</f>
        <v>No</v>
      </c>
      <c r="P45" s="10"/>
    </row>
    <row r="46" customFormat="false" ht="15" hidden="false" customHeight="false" outlineLevel="0" collapsed="false">
      <c r="A46" s="12" t="s">
        <v>280</v>
      </c>
      <c r="B46" s="12" t="n">
        <v>3</v>
      </c>
      <c r="C46" s="12" t="n">
        <v>10</v>
      </c>
      <c r="D46" s="10" t="s">
        <v>14</v>
      </c>
      <c r="E46" s="10" t="s">
        <v>105</v>
      </c>
      <c r="F46" s="10" t="s">
        <v>281</v>
      </c>
      <c r="G46" s="10" t="s">
        <v>282</v>
      </c>
      <c r="H46" s="10" t="s">
        <v>279</v>
      </c>
      <c r="I46" s="10"/>
      <c r="J46" s="10" t="s">
        <v>283</v>
      </c>
      <c r="K46" s="10" t="s">
        <v>69</v>
      </c>
      <c r="L46" s="10" t="str">
        <f aca="false">IFERROR(INDEX(Perfiles!$B$2:$B$5,MATCH(K46,Perfiles!$A$2:$A$5,0)),"")</f>
        <v>Dashboard / BI</v>
      </c>
      <c r="M46" s="10" t="s">
        <v>50</v>
      </c>
      <c r="N46" s="10" t="s">
        <v>140</v>
      </c>
      <c r="O46" s="10" t="str">
        <f aca="false">IF(N46="Hecho","Sí","No")</f>
        <v>No</v>
      </c>
      <c r="P46" s="10"/>
    </row>
    <row r="47" customFormat="false" ht="23.85" hidden="false" customHeight="false" outlineLevel="0" collapsed="false">
      <c r="A47" s="12" t="s">
        <v>284</v>
      </c>
      <c r="B47" s="12" t="n">
        <v>3</v>
      </c>
      <c r="C47" s="12" t="n">
        <v>11</v>
      </c>
      <c r="D47" s="10" t="s">
        <v>14</v>
      </c>
      <c r="E47" s="10" t="s">
        <v>100</v>
      </c>
      <c r="F47" s="10" t="s">
        <v>285</v>
      </c>
      <c r="G47" s="10" t="s">
        <v>286</v>
      </c>
      <c r="H47" s="10" t="s">
        <v>287</v>
      </c>
      <c r="I47" s="10"/>
      <c r="J47" s="10" t="s">
        <v>258</v>
      </c>
      <c r="K47" s="10" t="s">
        <v>50</v>
      </c>
      <c r="L47" s="10" t="str">
        <f aca="false">IFERROR(INDEX(Perfiles!$B$2:$B$5,MATCH(K47,Perfiles!$A$2:$A$5,0)),"")</f>
        <v>Cloud Computing</v>
      </c>
      <c r="M47" s="10" t="s">
        <v>41</v>
      </c>
      <c r="N47" s="10" t="s">
        <v>140</v>
      </c>
      <c r="O47" s="10" t="str">
        <f aca="false">IF(N47="Hecho","Sí","No")</f>
        <v>No</v>
      </c>
      <c r="P47" s="10" t="s">
        <v>288</v>
      </c>
    </row>
    <row r="48" customFormat="false" ht="15" hidden="false" customHeight="false" outlineLevel="0" collapsed="false">
      <c r="A48" s="12" t="s">
        <v>289</v>
      </c>
      <c r="B48" s="12" t="n">
        <v>3</v>
      </c>
      <c r="C48" s="12" t="n">
        <v>12</v>
      </c>
      <c r="D48" s="10" t="s">
        <v>14</v>
      </c>
      <c r="E48" s="10" t="s">
        <v>85</v>
      </c>
      <c r="F48" s="10" t="s">
        <v>290</v>
      </c>
      <c r="G48" s="10" t="s">
        <v>291</v>
      </c>
      <c r="H48" s="10" t="s">
        <v>292</v>
      </c>
      <c r="I48" s="10"/>
      <c r="J48" s="10" t="s">
        <v>91</v>
      </c>
      <c r="K48" s="10" t="s">
        <v>69</v>
      </c>
      <c r="L48" s="10" t="str">
        <f aca="false">IFERROR(INDEX(Perfiles!$B$2:$B$5,MATCH(K48,Perfiles!$A$2:$A$5,0)),"")</f>
        <v>Dashboard / BI</v>
      </c>
      <c r="M48" s="10" t="s">
        <v>50</v>
      </c>
      <c r="N48" s="10" t="s">
        <v>140</v>
      </c>
      <c r="O48" s="10" t="str">
        <f aca="false">IF(N48="Hecho","Sí","No")</f>
        <v>No</v>
      </c>
      <c r="P48" s="10"/>
    </row>
    <row r="49" customFormat="false" ht="23.85" hidden="false" customHeight="false" outlineLevel="0" collapsed="false">
      <c r="A49" s="12" t="s">
        <v>293</v>
      </c>
      <c r="B49" s="12" t="n">
        <v>3</v>
      </c>
      <c r="C49" s="12" t="n">
        <v>13</v>
      </c>
      <c r="D49" s="10" t="s">
        <v>14</v>
      </c>
      <c r="E49" s="10" t="s">
        <v>46</v>
      </c>
      <c r="F49" s="10" t="s">
        <v>294</v>
      </c>
      <c r="G49" s="10" t="s">
        <v>295</v>
      </c>
      <c r="H49" s="10" t="s">
        <v>296</v>
      </c>
      <c r="I49" s="10"/>
      <c r="J49" s="10"/>
      <c r="K49" s="10" t="s">
        <v>42</v>
      </c>
      <c r="L49" s="10" t="str">
        <f aca="false">IFERROR(INDEX(Perfiles!$B$2:$B$5,MATCH(K49,Perfiles!$A$2:$A$5,0)),"")</f>
        <v>ML / Analytics</v>
      </c>
      <c r="M49" s="10" t="s">
        <v>128</v>
      </c>
      <c r="N49" s="10" t="s">
        <v>43</v>
      </c>
      <c r="O49" s="10" t="str">
        <f aca="false">IF(N49="Hecho","Sí","No")</f>
        <v>Sí</v>
      </c>
      <c r="P49" s="10"/>
    </row>
    <row r="50" customFormat="false" ht="23.85" hidden="false" customHeight="false" outlineLevel="0" collapsed="false">
      <c r="A50" s="12" t="s">
        <v>297</v>
      </c>
      <c r="B50" s="12" t="n">
        <v>3</v>
      </c>
      <c r="C50" s="12" t="n">
        <v>14</v>
      </c>
      <c r="D50" s="10" t="s">
        <v>14</v>
      </c>
      <c r="E50" s="10" t="s">
        <v>46</v>
      </c>
      <c r="F50" s="10" t="s">
        <v>298</v>
      </c>
      <c r="G50" s="10" t="s">
        <v>299</v>
      </c>
      <c r="H50" s="10" t="s">
        <v>300</v>
      </c>
      <c r="I50" s="10"/>
      <c r="J50" s="10" t="s">
        <v>301</v>
      </c>
      <c r="K50" s="10" t="s">
        <v>69</v>
      </c>
      <c r="L50" s="10" t="str">
        <f aca="false">IFERROR(INDEX(Perfiles!$B$2:$B$5,MATCH(K50,Perfiles!$A$2:$A$5,0)),"")</f>
        <v>Dashboard / BI</v>
      </c>
      <c r="M50" s="10" t="s">
        <v>128</v>
      </c>
      <c r="N50" s="10" t="s">
        <v>140</v>
      </c>
      <c r="O50" s="10" t="str">
        <f aca="false">IF(N50="Hecho","Sí","No")</f>
        <v>No</v>
      </c>
      <c r="P50" s="10"/>
    </row>
    <row r="51" customFormat="false" ht="15" hidden="false" customHeight="false" outlineLevel="0" collapsed="false">
      <c r="A51" s="12" t="s">
        <v>302</v>
      </c>
      <c r="B51" s="12" t="n">
        <v>3</v>
      </c>
      <c r="C51" s="12" t="n">
        <v>15</v>
      </c>
      <c r="D51" s="10" t="s">
        <v>14</v>
      </c>
      <c r="E51" s="10" t="s">
        <v>46</v>
      </c>
      <c r="F51" s="10" t="s">
        <v>303</v>
      </c>
      <c r="G51" s="10" t="s">
        <v>304</v>
      </c>
      <c r="H51" s="10" t="s">
        <v>305</v>
      </c>
      <c r="I51" s="10"/>
      <c r="J51" s="10" t="s">
        <v>297</v>
      </c>
      <c r="K51" s="10" t="s">
        <v>42</v>
      </c>
      <c r="L51" s="10" t="str">
        <f aca="false">IFERROR(INDEX(Perfiles!$B$2:$B$5,MATCH(K51,Perfiles!$A$2:$A$5,0)),"")</f>
        <v>ML / Analytics</v>
      </c>
      <c r="M51" s="10" t="s">
        <v>128</v>
      </c>
      <c r="N51" s="10" t="s">
        <v>140</v>
      </c>
      <c r="O51" s="10" t="str">
        <f aca="false">IF(N51="Hecho","Sí","No")</f>
        <v>No</v>
      </c>
      <c r="P51" s="10"/>
    </row>
    <row r="52" customFormat="false" ht="23.85" hidden="false" customHeight="false" outlineLevel="0" collapsed="false">
      <c r="A52" s="12" t="s">
        <v>306</v>
      </c>
      <c r="B52" s="12" t="n">
        <v>3</v>
      </c>
      <c r="C52" s="12" t="n">
        <v>16</v>
      </c>
      <c r="D52" s="10" t="s">
        <v>14</v>
      </c>
      <c r="E52" s="10" t="s">
        <v>85</v>
      </c>
      <c r="F52" s="10" t="s">
        <v>307</v>
      </c>
      <c r="G52" s="10" t="s">
        <v>308</v>
      </c>
      <c r="H52" s="10" t="s">
        <v>309</v>
      </c>
      <c r="I52" s="10" t="s">
        <v>310</v>
      </c>
      <c r="J52" s="10" t="s">
        <v>302</v>
      </c>
      <c r="K52" s="10" t="s">
        <v>50</v>
      </c>
      <c r="L52" s="10" t="str">
        <f aca="false">IFERROR(INDEX(Perfiles!$B$2:$B$5,MATCH(K52,Perfiles!$A$2:$A$5,0)),"")</f>
        <v>Cloud Computing</v>
      </c>
      <c r="M52" s="10"/>
      <c r="N52" s="10" t="s">
        <v>140</v>
      </c>
      <c r="O52" s="10" t="str">
        <f aca="false">IF(N52="Hecho","Sí","No")</f>
        <v>No</v>
      </c>
      <c r="P52" s="10"/>
    </row>
  </sheetData>
  <autoFilter ref="A1:P52"/>
  <conditionalFormatting sqref="N2:N52">
    <cfRule type="cellIs" priority="2" operator="equal" aboveAverage="0" equalAverage="0" bottom="0" percent="0" rank="0" text="" dxfId="8">
      <formula>"Hecho"</formula>
    </cfRule>
    <cfRule type="cellIs" priority="3" operator="equal" aboveAverage="0" equalAverage="0" bottom="0" percent="0" rank="0" text="" dxfId="9">
      <formula>"Listo para desplegar"</formula>
    </cfRule>
    <cfRule type="cellIs" priority="4" operator="equal" aboveAverage="0" equalAverage="0" bottom="0" percent="0" rank="0" text="" dxfId="10">
      <formula>"En curso"</formula>
    </cfRule>
    <cfRule type="cellIs" priority="5" operator="equal" aboveAverage="0" equalAverage="0" bottom="0" percent="0" rank="0" text="" dxfId="11">
      <formula>"Pendiente"</formula>
    </cfRule>
    <cfRule type="cellIs" priority="6" operator="equal" aboveAverage="0" equalAverage="0" bottom="0" percent="0" rank="0" text="" dxfId="12">
      <formula>"Bloqueado"</formula>
    </cfRule>
  </conditionalFormatting>
  <dataValidations count="1">
    <dataValidation allowBlank="false" errorStyle="stop" operator="between" showDropDown="false" showErrorMessage="false" showInputMessage="false" sqref="N2:N52" type="list">
      <formula1>"Hecho,Listo para desplegar,Pendiente,En curso,Bloqueado"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</cols>
  <sheetData>
    <row r="1" customFormat="false" ht="35.05" hidden="false" customHeight="false" outlineLevel="0" collapsed="false">
      <c r="A1" s="8" t="s">
        <v>311</v>
      </c>
      <c r="B1" s="8" t="s">
        <v>31</v>
      </c>
      <c r="C1" s="8" t="s">
        <v>312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customFormat="false" ht="23.85" hidden="false" customHeight="false" outlineLevel="0" collapsed="false">
      <c r="A2" s="10" t="s">
        <v>42</v>
      </c>
      <c r="B2" s="10" t="s">
        <v>313</v>
      </c>
      <c r="C2" s="10" t="s">
        <v>314</v>
      </c>
      <c r="D2" s="2" t="n">
        <f aca="false">COUNTIF(Matriz!$K$2:$K$52,A2)</f>
        <v>11</v>
      </c>
      <c r="E2" s="2" t="n">
        <f aca="false">COUNTIFS(Matriz!$K$2:$K$52,$A2,Matriz!$N$2:$N$52,"Hecho")</f>
        <v>5</v>
      </c>
      <c r="F2" s="2" t="n">
        <f aca="false">COUNTIFS(Matriz!$K$2:$K$52,$A2,Matriz!$N$2:$N$52,"Listo para desplegar")</f>
        <v>3</v>
      </c>
      <c r="G2" s="2" t="n">
        <f aca="false">COUNTIFS(Matriz!$K$2:$K$52,$A2,Matriz!$N$2:$N$52,"Pendiente")</f>
        <v>3</v>
      </c>
      <c r="H2" s="3" t="n">
        <f aca="false">IF(D2&gt;0,E2/D2,0)</f>
        <v>0.454545454545455</v>
      </c>
    </row>
    <row r="3" customFormat="false" ht="23.85" hidden="false" customHeight="false" outlineLevel="0" collapsed="false">
      <c r="A3" s="10" t="s">
        <v>50</v>
      </c>
      <c r="B3" s="10" t="s">
        <v>315</v>
      </c>
      <c r="C3" s="10" t="s">
        <v>316</v>
      </c>
      <c r="D3" s="2" t="n">
        <f aca="false">COUNTIF(Matriz!$K$2:$K$52,A3)</f>
        <v>18</v>
      </c>
      <c r="E3" s="2" t="n">
        <f aca="false">COUNTIFS(Matriz!$K$2:$K$52,$A3,Matriz!$N$2:$N$52,"Hecho")</f>
        <v>5</v>
      </c>
      <c r="F3" s="2" t="n">
        <f aca="false">COUNTIFS(Matriz!$K$2:$K$52,$A3,Matriz!$N$2:$N$52,"Listo para desplegar")</f>
        <v>8</v>
      </c>
      <c r="G3" s="2" t="n">
        <f aca="false">COUNTIFS(Matriz!$K$2:$K$52,$A3,Matriz!$N$2:$N$52,"Pendiente")</f>
        <v>5</v>
      </c>
      <c r="H3" s="3" t="n">
        <f aca="false">IF(D3&gt;0,E3/D3,0)</f>
        <v>0.277777777777778</v>
      </c>
    </row>
    <row r="4" customFormat="false" ht="23.85" hidden="false" customHeight="false" outlineLevel="0" collapsed="false">
      <c r="A4" s="10" t="s">
        <v>41</v>
      </c>
      <c r="B4" s="10" t="s">
        <v>317</v>
      </c>
      <c r="C4" s="10" t="s">
        <v>318</v>
      </c>
      <c r="D4" s="2" t="n">
        <f aca="false">COUNTIF(Matriz!$K$2:$K$52,A4)</f>
        <v>13</v>
      </c>
      <c r="E4" s="2" t="n">
        <f aca="false">COUNTIFS(Matriz!$K$2:$K$52,$A4,Matriz!$N$2:$N$52,"Hecho")</f>
        <v>5</v>
      </c>
      <c r="F4" s="2" t="n">
        <f aca="false">COUNTIFS(Matriz!$K$2:$K$52,$A4,Matriz!$N$2:$N$52,"Listo para desplegar")</f>
        <v>6</v>
      </c>
      <c r="G4" s="2" t="n">
        <f aca="false">COUNTIFS(Matriz!$K$2:$K$52,$A4,Matriz!$N$2:$N$52,"Pendiente")</f>
        <v>2</v>
      </c>
      <c r="H4" s="3" t="n">
        <f aca="false">IF(D4&gt;0,E4/D4,0)</f>
        <v>0.384615384615385</v>
      </c>
    </row>
    <row r="5" customFormat="false" ht="15" hidden="false" customHeight="false" outlineLevel="0" collapsed="false">
      <c r="A5" s="10" t="s">
        <v>69</v>
      </c>
      <c r="B5" s="10" t="s">
        <v>319</v>
      </c>
      <c r="C5" s="10" t="s">
        <v>320</v>
      </c>
      <c r="D5" s="2" t="n">
        <f aca="false">COUNTIF(Matriz!$K$2:$K$52,A5)</f>
        <v>9</v>
      </c>
      <c r="E5" s="2" t="n">
        <f aca="false">COUNTIFS(Matriz!$K$2:$K$52,$A5,Matriz!$N$2:$N$52,"Hecho")</f>
        <v>3</v>
      </c>
      <c r="F5" s="2" t="n">
        <f aca="false">COUNTIFS(Matriz!$K$2:$K$52,$A5,Matriz!$N$2:$N$52,"Listo para desplegar")</f>
        <v>1</v>
      </c>
      <c r="G5" s="2" t="n">
        <f aca="false">COUNTIFS(Matriz!$K$2:$K$52,$A5,Matriz!$N$2:$N$52,"Pendiente")</f>
        <v>5</v>
      </c>
      <c r="H5" s="3" t="n">
        <f aca="false">IF(D5&gt;0,E5/D5,0)</f>
        <v>0.333333333333333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8" t="s">
        <v>0</v>
      </c>
      <c r="B1" s="8" t="s">
        <v>321</v>
      </c>
      <c r="C1" s="8" t="s">
        <v>322</v>
      </c>
      <c r="D1" s="8" t="s">
        <v>28</v>
      </c>
      <c r="E1" s="8" t="s">
        <v>30</v>
      </c>
      <c r="F1" s="8" t="s">
        <v>323</v>
      </c>
      <c r="G1" s="8" t="s">
        <v>324</v>
      </c>
    </row>
    <row r="2" customFormat="false" ht="23.85" hidden="false" customHeight="false" outlineLevel="0" collapsed="false">
      <c r="A2" s="10" t="n">
        <v>1</v>
      </c>
      <c r="B2" s="10" t="s">
        <v>325</v>
      </c>
      <c r="C2" s="10" t="s">
        <v>326</v>
      </c>
      <c r="D2" s="10" t="s">
        <v>327</v>
      </c>
      <c r="E2" s="10" t="s">
        <v>50</v>
      </c>
      <c r="F2" s="10"/>
      <c r="G2" s="10" t="s">
        <v>328</v>
      </c>
    </row>
    <row r="3" customFormat="false" ht="23.85" hidden="false" customHeight="false" outlineLevel="0" collapsed="false">
      <c r="A3" s="10" t="n">
        <v>1</v>
      </c>
      <c r="B3" s="10" t="s">
        <v>329</v>
      </c>
      <c r="C3" s="10" t="s">
        <v>330</v>
      </c>
      <c r="D3" s="10" t="s">
        <v>331</v>
      </c>
      <c r="E3" s="10" t="s">
        <v>50</v>
      </c>
      <c r="F3" s="10" t="s">
        <v>332</v>
      </c>
      <c r="G3" s="10" t="s">
        <v>333</v>
      </c>
    </row>
    <row r="4" customFormat="false" ht="23.85" hidden="false" customHeight="false" outlineLevel="0" collapsed="false">
      <c r="A4" s="10" t="n">
        <v>1</v>
      </c>
      <c r="B4" s="10" t="s">
        <v>334</v>
      </c>
      <c r="C4" s="10" t="s">
        <v>335</v>
      </c>
      <c r="D4" s="10" t="s">
        <v>336</v>
      </c>
      <c r="E4" s="10" t="s">
        <v>128</v>
      </c>
      <c r="F4" s="10" t="s">
        <v>337</v>
      </c>
      <c r="G4" s="10" t="s">
        <v>338</v>
      </c>
    </row>
    <row r="5" customFormat="false" ht="15" hidden="false" customHeight="false" outlineLevel="0" collapsed="false">
      <c r="A5" s="10" t="n">
        <v>1</v>
      </c>
      <c r="B5" s="10" t="s">
        <v>339</v>
      </c>
      <c r="C5" s="10" t="s">
        <v>340</v>
      </c>
      <c r="D5" s="10" t="s">
        <v>341</v>
      </c>
      <c r="E5" s="10" t="s">
        <v>128</v>
      </c>
      <c r="F5" s="10"/>
      <c r="G5" s="10" t="s">
        <v>342</v>
      </c>
    </row>
    <row r="6" customFormat="false" ht="15" hidden="false" customHeight="false" outlineLevel="0" collapsed="false">
      <c r="A6" s="10" t="n">
        <v>1</v>
      </c>
      <c r="B6" s="10" t="s">
        <v>343</v>
      </c>
      <c r="C6" s="10" t="s">
        <v>344</v>
      </c>
      <c r="D6" s="10" t="s">
        <v>345</v>
      </c>
      <c r="E6" s="10" t="s">
        <v>128</v>
      </c>
      <c r="F6" s="10"/>
      <c r="G6" s="10" t="s">
        <v>346</v>
      </c>
    </row>
    <row r="7" customFormat="false" ht="15" hidden="false" customHeight="false" outlineLevel="0" collapsed="false">
      <c r="A7" s="10" t="n">
        <v>1</v>
      </c>
      <c r="B7" s="10" t="s">
        <v>347</v>
      </c>
      <c r="C7" s="10" t="s">
        <v>348</v>
      </c>
      <c r="D7" s="10" t="s">
        <v>349</v>
      </c>
      <c r="E7" s="10" t="s">
        <v>42</v>
      </c>
      <c r="F7" s="10" t="s">
        <v>350</v>
      </c>
      <c r="G7" s="10" t="s">
        <v>351</v>
      </c>
    </row>
    <row r="8" customFormat="false" ht="23.85" hidden="false" customHeight="false" outlineLevel="0" collapsed="false">
      <c r="A8" s="10" t="n">
        <v>2</v>
      </c>
      <c r="B8" s="10" t="s">
        <v>352</v>
      </c>
      <c r="C8" s="10" t="s">
        <v>353</v>
      </c>
      <c r="D8" s="10" t="s">
        <v>354</v>
      </c>
      <c r="E8" s="10" t="s">
        <v>50</v>
      </c>
      <c r="F8" s="10" t="s">
        <v>355</v>
      </c>
      <c r="G8" s="10" t="s">
        <v>356</v>
      </c>
    </row>
    <row r="9" customFormat="false" ht="15" hidden="false" customHeight="false" outlineLevel="0" collapsed="false">
      <c r="A9" s="10" t="n">
        <v>2</v>
      </c>
      <c r="B9" s="10" t="s">
        <v>357</v>
      </c>
      <c r="C9" s="10" t="s">
        <v>358</v>
      </c>
      <c r="D9" s="10" t="s">
        <v>120</v>
      </c>
      <c r="E9" s="10" t="s">
        <v>50</v>
      </c>
      <c r="F9" s="10" t="s">
        <v>359</v>
      </c>
      <c r="G9" s="10" t="s">
        <v>360</v>
      </c>
    </row>
    <row r="10" customFormat="false" ht="23.85" hidden="false" customHeight="false" outlineLevel="0" collapsed="false">
      <c r="A10" s="10" t="n">
        <v>2</v>
      </c>
      <c r="B10" s="10" t="s">
        <v>361</v>
      </c>
      <c r="C10" s="10" t="s">
        <v>362</v>
      </c>
      <c r="D10" s="10" t="s">
        <v>262</v>
      </c>
      <c r="E10" s="10" t="s">
        <v>50</v>
      </c>
      <c r="F10" s="10" t="s">
        <v>359</v>
      </c>
      <c r="G10" s="10" t="s">
        <v>363</v>
      </c>
    </row>
    <row r="11" customFormat="false" ht="23.85" hidden="false" customHeight="false" outlineLevel="0" collapsed="false">
      <c r="A11" s="10" t="n">
        <v>2</v>
      </c>
      <c r="B11" s="10" t="s">
        <v>364</v>
      </c>
      <c r="C11" s="10" t="s">
        <v>365</v>
      </c>
      <c r="D11" s="10" t="s">
        <v>366</v>
      </c>
      <c r="E11" s="10" t="s">
        <v>41</v>
      </c>
      <c r="F11" s="10" t="s">
        <v>367</v>
      </c>
      <c r="G11" s="10" t="s">
        <v>368</v>
      </c>
    </row>
    <row r="12" customFormat="false" ht="15" hidden="false" customHeight="false" outlineLevel="0" collapsed="false">
      <c r="A12" s="10" t="n">
        <v>2</v>
      </c>
      <c r="B12" s="10" t="s">
        <v>369</v>
      </c>
      <c r="C12" s="10" t="s">
        <v>370</v>
      </c>
      <c r="D12" s="10" t="s">
        <v>371</v>
      </c>
      <c r="E12" s="10" t="s">
        <v>41</v>
      </c>
      <c r="F12" s="10" t="s">
        <v>372</v>
      </c>
      <c r="G12" s="10" t="s">
        <v>373</v>
      </c>
    </row>
    <row r="13" customFormat="false" ht="15" hidden="false" customHeight="false" outlineLevel="0" collapsed="false">
      <c r="A13" s="10" t="n">
        <v>2</v>
      </c>
      <c r="B13" s="10" t="s">
        <v>374</v>
      </c>
      <c r="C13" s="10" t="s">
        <v>375</v>
      </c>
      <c r="D13" s="10" t="s">
        <v>176</v>
      </c>
      <c r="E13" s="10" t="s">
        <v>41</v>
      </c>
      <c r="F13" s="10" t="s">
        <v>376</v>
      </c>
      <c r="G13" s="10" t="s">
        <v>377</v>
      </c>
    </row>
    <row r="14" customFormat="false" ht="15" hidden="false" customHeight="false" outlineLevel="0" collapsed="false">
      <c r="A14" s="10" t="n">
        <v>2</v>
      </c>
      <c r="B14" s="10" t="s">
        <v>378</v>
      </c>
      <c r="C14" s="10" t="s">
        <v>379</v>
      </c>
      <c r="D14" s="10" t="s">
        <v>187</v>
      </c>
      <c r="E14" s="10" t="s">
        <v>41</v>
      </c>
      <c r="F14" s="10" t="s">
        <v>380</v>
      </c>
      <c r="G14" s="10" t="s">
        <v>381</v>
      </c>
    </row>
    <row r="15" customFormat="false" ht="23.85" hidden="false" customHeight="false" outlineLevel="0" collapsed="false">
      <c r="A15" s="10" t="n">
        <v>2</v>
      </c>
      <c r="B15" s="10" t="s">
        <v>382</v>
      </c>
      <c r="C15" s="10" t="s">
        <v>383</v>
      </c>
      <c r="D15" s="10" t="s">
        <v>384</v>
      </c>
      <c r="E15" s="10" t="s">
        <v>50</v>
      </c>
      <c r="F15" s="10" t="s">
        <v>385</v>
      </c>
      <c r="G15" s="10" t="s">
        <v>386</v>
      </c>
    </row>
    <row r="16" customFormat="false" ht="23.85" hidden="false" customHeight="false" outlineLevel="0" collapsed="false">
      <c r="A16" s="10" t="n">
        <v>3</v>
      </c>
      <c r="B16" s="10" t="s">
        <v>387</v>
      </c>
      <c r="C16" s="10" t="s">
        <v>388</v>
      </c>
      <c r="D16" s="10" t="s">
        <v>389</v>
      </c>
      <c r="E16" s="10" t="s">
        <v>41</v>
      </c>
      <c r="F16" s="10" t="s">
        <v>390</v>
      </c>
      <c r="G16" s="10" t="s">
        <v>391</v>
      </c>
    </row>
    <row r="17" customFormat="false" ht="15" hidden="false" customHeight="false" outlineLevel="0" collapsed="false">
      <c r="A17" s="10" t="n">
        <v>3</v>
      </c>
      <c r="B17" s="10" t="s">
        <v>392</v>
      </c>
      <c r="C17" s="10" t="s">
        <v>393</v>
      </c>
      <c r="D17" s="10" t="s">
        <v>394</v>
      </c>
      <c r="E17" s="10" t="s">
        <v>128</v>
      </c>
      <c r="F17" s="10" t="s">
        <v>395</v>
      </c>
      <c r="G17" s="10" t="s">
        <v>396</v>
      </c>
    </row>
    <row r="18" customFormat="false" ht="15" hidden="false" customHeight="false" outlineLevel="0" collapsed="false">
      <c r="A18" s="10" t="n">
        <v>3</v>
      </c>
      <c r="B18" s="10" t="s">
        <v>397</v>
      </c>
      <c r="C18" s="10" t="s">
        <v>398</v>
      </c>
      <c r="D18" s="10" t="s">
        <v>399</v>
      </c>
      <c r="E18" s="10" t="s">
        <v>50</v>
      </c>
      <c r="F18" s="10" t="s">
        <v>350</v>
      </c>
      <c r="G18" s="10" t="s">
        <v>400</v>
      </c>
    </row>
    <row r="19" customFormat="false" ht="15" hidden="false" customHeight="false" outlineLevel="0" collapsed="false">
      <c r="A19" s="10" t="n">
        <v>3</v>
      </c>
      <c r="B19" s="10" t="s">
        <v>401</v>
      </c>
      <c r="C19" s="10" t="s">
        <v>402</v>
      </c>
      <c r="D19" s="10" t="s">
        <v>403</v>
      </c>
      <c r="E19" s="10" t="s">
        <v>69</v>
      </c>
      <c r="F19" s="10" t="s">
        <v>404</v>
      </c>
      <c r="G19" s="10" t="s">
        <v>405</v>
      </c>
    </row>
    <row r="20" customFormat="false" ht="23.85" hidden="false" customHeight="false" outlineLevel="0" collapsed="false">
      <c r="A20" s="10" t="n">
        <v>3</v>
      </c>
      <c r="B20" s="10" t="s">
        <v>406</v>
      </c>
      <c r="C20" s="10" t="s">
        <v>407</v>
      </c>
      <c r="D20" s="10" t="s">
        <v>408</v>
      </c>
      <c r="E20" s="10" t="s">
        <v>42</v>
      </c>
      <c r="F20" s="10" t="s">
        <v>409</v>
      </c>
      <c r="G20" s="10" t="s">
        <v>410</v>
      </c>
    </row>
    <row r="21" customFormat="false" ht="15" hidden="false" customHeight="false" outlineLevel="0" collapsed="false">
      <c r="A21" s="10" t="n">
        <v>3</v>
      </c>
      <c r="B21" s="10" t="s">
        <v>411</v>
      </c>
      <c r="C21" s="10" t="s">
        <v>412</v>
      </c>
      <c r="D21" s="10" t="s">
        <v>310</v>
      </c>
      <c r="E21" s="10" t="s">
        <v>50</v>
      </c>
      <c r="F21" s="10" t="s">
        <v>413</v>
      </c>
      <c r="G21" s="10" t="s">
        <v>414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2026-10-24T19:56:15Z</dcterms:created>
  <dc:creator>openpyxl</dc:creator>
  <dc:description/>
  <dc:language>en-US</dc:language>
  <cp:lastModifiedBy/>
  <dcterms:modified xsi:type="dcterms:W3CDTF">2026-10-24T19:56:15Z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