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Precios" sheetId="2" state="visible" r:id="rId4"/>
    <sheet name="Uso" sheetId="3" state="visible" r:id="rId5"/>
    <sheet name="Costo mensu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<sst xmlns="http://schemas.openxmlformats.org/spreadsheetml/2006/main" count="178" uniqueCount="83">
  <si>
    <t xml:space="preserve">Concepto</t>
  </si>
  <si>
    <t xml:space="preserve">Meses</t>
  </si>
  <si>
    <t xml:space="preserve">USD</t>
  </si>
  <si>
    <t xml:space="preserve">Escenario</t>
  </si>
  <si>
    <t xml:space="preserve">Total mensual</t>
  </si>
  <si>
    <t xml:space="preserve">dev</t>
  </si>
  <si>
    <t xml:space="preserve">demo</t>
  </si>
  <si>
    <t xml:space="preserve">produccion</t>
  </si>
  <si>
    <t xml:space="preserve">pico_black_friday</t>
  </si>
  <si>
    <t xml:space="preserve">Año 1 (producción)</t>
  </si>
  <si>
    <t xml:space="preserve">11×produccion + 1×pico_black_friday</t>
  </si>
  <si>
    <t xml:space="preserve">Costo del curso</t>
  </si>
  <si>
    <t xml:space="preserve">1×dev + 1×demo</t>
  </si>
  <si>
    <t xml:space="preserve">Costo por pedido (producción)</t>
  </si>
  <si>
    <t xml:space="preserve">Año 1 por servicio</t>
  </si>
  <si>
    <t xml:space="preserve">Artifact Registry</t>
  </si>
  <si>
    <t xml:space="preserve">BigQuery</t>
  </si>
  <si>
    <t xml:space="preserve">Cloud Pub/Sub</t>
  </si>
  <si>
    <t xml:space="preserve">Cloud Run</t>
  </si>
  <si>
    <t xml:space="preserve">Cloud SQL</t>
  </si>
  <si>
    <t xml:space="preserve">Cloud Storage</t>
  </si>
  <si>
    <t xml:space="preserve">Dataflow</t>
  </si>
  <si>
    <t xml:space="preserve">Serverless for Apache Spark</t>
  </si>
  <si>
    <t xml:space="preserve">Vertex AI Gemini 2.5 Flash-Lite</t>
  </si>
  <si>
    <t xml:space="preserve">Clave</t>
  </si>
  <si>
    <t xml:space="preserve">Servicio</t>
  </si>
  <si>
    <t xml:space="preserve">Unidad</t>
  </si>
  <si>
    <t xml:space="preserve">Precio USD</t>
  </si>
  <si>
    <t xml:space="preserve">Gratis/mes</t>
  </si>
  <si>
    <t xml:space="preserve">Fuente</t>
  </si>
  <si>
    <t xml:space="preserve">gcs_standard_gb_mes</t>
  </si>
  <si>
    <t xml:space="preserve">GB-mes</t>
  </si>
  <si>
    <t xml:space="preserve">https://cloud.google.com/storage/pricing</t>
  </si>
  <si>
    <t xml:space="preserve">gcs_nearline_gb_mes</t>
  </si>
  <si>
    <t xml:space="preserve">bq_storage_gib_mes</t>
  </si>
  <si>
    <t xml:space="preserve">GiB-mes</t>
  </si>
  <si>
    <t xml:space="preserve">https://cloud.google.com/bigquery/pricing</t>
  </si>
  <si>
    <t xml:space="preserve">bq_query_tib</t>
  </si>
  <si>
    <t xml:space="preserve">TiB escaneado</t>
  </si>
  <si>
    <t xml:space="preserve">pubsub_tib</t>
  </si>
  <si>
    <t xml:space="preserve">TiB</t>
  </si>
  <si>
    <t xml:space="preserve">https://cloud.google.com/pubsub/pricing</t>
  </si>
  <si>
    <t xml:space="preserve">pubsub_bq_sub_tib</t>
  </si>
  <si>
    <t xml:space="preserve">dataflow_vcpu_h</t>
  </si>
  <si>
    <t xml:space="preserve">vCPU-hora (streaming)</t>
  </si>
  <si>
    <t xml:space="preserve">https://cloud.google.com/dataflow/pricing</t>
  </si>
  <si>
    <t xml:space="preserve">dataflow_mem_gb_h</t>
  </si>
  <si>
    <t xml:space="preserve">GB-hora</t>
  </si>
  <si>
    <t xml:space="preserve">dataproc_dcu_h</t>
  </si>
  <si>
    <t xml:space="preserve">DCU-hora</t>
  </si>
  <si>
    <t xml:space="preserve">https://cloud.google.com/dataproc-serverless/pricing</t>
  </si>
  <si>
    <t xml:space="preserve">cloudrun_vcpu_s</t>
  </si>
  <si>
    <t xml:space="preserve">vCPU-segundo</t>
  </si>
  <si>
    <t xml:space="preserve">https://cloud.google.com/run/pricing</t>
  </si>
  <si>
    <t xml:space="preserve">cloudrun_gib_s</t>
  </si>
  <si>
    <t xml:space="preserve">GiB-segundo</t>
  </si>
  <si>
    <t xml:space="preserve">cloudrun_req_millon</t>
  </si>
  <si>
    <t xml:space="preserve">millón de requests</t>
  </si>
  <si>
    <t xml:space="preserve">cloudsql_micro_h</t>
  </si>
  <si>
    <t xml:space="preserve">hora db-f1-micro</t>
  </si>
  <si>
    <t xml:space="preserve">https://cloud.google.com/sql/pricing (verificar; shared-core sin SLA)</t>
  </si>
  <si>
    <t xml:space="preserve">cloudsql_small_h</t>
  </si>
  <si>
    <t xml:space="preserve">hora db-g1-small</t>
  </si>
  <si>
    <t xml:space="preserve">https://cloud.google.com/sql/pricing</t>
  </si>
  <si>
    <t xml:space="preserve">cloudsql_ssd_gb_mes</t>
  </si>
  <si>
    <t xml:space="preserve">GB-mes SSD</t>
  </si>
  <si>
    <t xml:space="preserve">gemini_in_mtok</t>
  </si>
  <si>
    <t xml:space="preserve">millón tokens entrada</t>
  </si>
  <si>
    <t xml:space="preserve">https://cloud.google.com/vertex-ai/generative-ai/pricing</t>
  </si>
  <si>
    <t xml:space="preserve">gemini_out_mtok</t>
  </si>
  <si>
    <t xml:space="preserve">millón tokens salida</t>
  </si>
  <si>
    <t xml:space="preserve">artifact_gb_mes</t>
  </si>
  <si>
    <t xml:space="preserve">https://cloud.google.com/artifact-registry/pricing</t>
  </si>
  <si>
    <t xml:space="preserve">Precios lista us-central1, consultados 2026-10-22. Celdas amarillas = editables. Estimación, no cotización: validar en https://cloud.google.com/products/calculator</t>
  </si>
  <si>
    <t xml:space="preserve">pedidos_mes</t>
  </si>
  <si>
    <t xml:space="preserve">descripcion</t>
  </si>
  <si>
    <t xml:space="preserve">Desarrollo del curso (1 mes): carga histórica, pipelines batch, pruebas</t>
  </si>
  <si>
    <t xml:space="preserve">Mes de sustentación: replay streaming con Dataflow encendido 24 h</t>
  </si>
  <si>
    <t xml:space="preserve">Operación mensual a escala H&amp;M (~377k pedidos/mes, 3.5 líneas/pedido)</t>
  </si>
  <si>
    <t xml:space="preserve">Mes pico (5x eventos/tráfico): autoscaling Dataflow y Cloud Run</t>
  </si>
  <si>
    <t xml:space="preserve">TOTAL MENSUAL</t>
  </si>
  <si>
    <t xml:space="preserve">Pedidos/mes</t>
  </si>
  <si>
    <t xml:space="preserve">Costo por pedido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</si>
</sst>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\$0.00000"/>
    <numFmt numFmtId="167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C2" s="2" t="s">
        <v>4</v>
      </c>
    </row>
    <row r="3" customFormat="false" ht="15" hidden="false" customHeight="false" outlineLevel="0" collapsed="false">
      <c r="A3" s="0" t="s">
        <v>5</v>
      </c>
      <c r="C3" s="2" t="n">
        <f aca="false">'Costo mensual'!C20</f>
        <v>7.2</v>
      </c>
    </row>
    <row r="4" customFormat="false" ht="15" hidden="false" customHeight="false" outlineLevel="0" collapsed="false">
      <c r="A4" s="0" t="s">
        <v>6</v>
      </c>
      <c r="C4" s="2" t="n">
        <f aca="false">'Costo mensual'!D20</f>
        <v>9.72226</v>
      </c>
    </row>
    <row r="5" customFormat="false" ht="15" hidden="false" customHeight="false" outlineLevel="0" collapsed="false">
      <c r="A5" s="0" t="s">
        <v>7</v>
      </c>
      <c r="C5" s="2" t="n">
        <f aca="false">'Costo mensual'!E20</f>
        <v>281.82895</v>
      </c>
    </row>
    <row r="6" customFormat="false" ht="15" hidden="false" customHeight="false" outlineLevel="0" collapsed="false">
      <c r="A6" s="0" t="s">
        <v>8</v>
      </c>
      <c r="C6" s="2" t="n">
        <f aca="false">'Costo mensual'!F20</f>
        <v>958.2081</v>
      </c>
    </row>
    <row r="7" customFormat="false" ht="15" hidden="false" customHeight="false" outlineLevel="0" collapsed="false">
      <c r="C7" s="2"/>
    </row>
    <row r="8" customFormat="false" ht="15" hidden="false" customHeight="false" outlineLevel="0" collapsed="false">
      <c r="A8" s="3" t="s">
        <v>9</v>
      </c>
      <c r="B8" s="0" t="s">
        <v>10</v>
      </c>
      <c r="C8" s="4" t="n">
        <f aca="false">'Costo mensual'!E20*11+'Costo mensual'!F20*1</f>
        <v>4058.32655</v>
      </c>
    </row>
    <row r="9" customFormat="false" ht="15" hidden="false" customHeight="false" outlineLevel="0" collapsed="false">
      <c r="A9" s="3" t="s">
        <v>11</v>
      </c>
      <c r="B9" s="0" t="s">
        <v>12</v>
      </c>
      <c r="C9" s="4" t="n">
        <f aca="false">'Costo mensual'!C20*1+'Costo mensual'!D20*1</f>
        <v>16.92226</v>
      </c>
    </row>
    <row r="10" customFormat="false" ht="15" hidden="false" customHeight="false" outlineLevel="0" collapsed="false">
      <c r="C10" s="2"/>
    </row>
    <row r="11" customFormat="false" ht="15" hidden="false" customHeight="false" outlineLevel="0" collapsed="false">
      <c r="A11" s="3" t="s">
        <v>13</v>
      </c>
      <c r="C11" s="5" t="n">
        <f aca="false">'Costo mensual'!E22</f>
        <v>0.000747556896551724</v>
      </c>
    </row>
    <row r="12" customFormat="false" ht="15" hidden="false" customHeight="false" outlineLevel="0" collapsed="false">
      <c r="C12" s="2"/>
    </row>
    <row r="13" customFormat="false" ht="15" hidden="false" customHeight="false" outlineLevel="0" collapsed="false">
      <c r="A13" s="3" t="s">
        <v>14</v>
      </c>
      <c r="C13" s="2"/>
    </row>
    <row r="14" customFormat="false" ht="15" hidden="false" customHeight="false" outlineLevel="0" collapsed="false">
      <c r="A14" s="0" t="s">
        <v>15</v>
      </c>
      <c r="C14" s="2" t="n">
        <f aca="false">SUMIF('Costo mensual'!$B$2:$B$19,A14,'Costo mensual'!E$2:E$19)*11+SUMIF('Costo mensual'!$B$2:$B$19,A14,'Costo mensual'!F$2:F$19)*1</f>
        <v>3</v>
      </c>
    </row>
    <row r="15" customFormat="false" ht="15" hidden="false" customHeight="false" outlineLevel="0" collapsed="false">
      <c r="A15" s="0" t="s">
        <v>16</v>
      </c>
      <c r="C15" s="2" t="n">
        <f aca="false">SUMIF('Costo mensual'!$B$2:$B$19,A15,'Costo mensual'!E$2:E$19)*11+SUMIF('Costo mensual'!$B$2:$B$19,A15,'Costo mensual'!F$2:F$19)*1</f>
        <v>612.4</v>
      </c>
    </row>
    <row r="16" customFormat="false" ht="15" hidden="false" customHeight="false" outlineLevel="0" collapsed="false">
      <c r="A16" s="0" t="s">
        <v>17</v>
      </c>
      <c r="C16" s="2" t="n">
        <f aca="false">SUMIF('Costo mensual'!$B$2:$B$19,A16,'Costo mensual'!E$2:E$19)*11+SUMIF('Costo mensual'!$B$2:$B$19,A16,'Costo mensual'!F$2:F$19)*1</f>
        <v>38.5125</v>
      </c>
    </row>
    <row r="17" customFormat="false" ht="15" hidden="false" customHeight="false" outlineLevel="0" collapsed="false">
      <c r="A17" s="0" t="s">
        <v>18</v>
      </c>
      <c r="C17" s="2" t="n">
        <f aca="false">SUMIF('Costo mensual'!$B$2:$B$19,A17,'Costo mensual'!E$2:E$19)*11+SUMIF('Costo mensual'!$B$2:$B$19,A17,'Costo mensual'!F$2:F$19)*1</f>
        <v>572.16</v>
      </c>
    </row>
    <row r="18" customFormat="false" ht="15" hidden="false" customHeight="false" outlineLevel="0" collapsed="false">
      <c r="A18" s="0" t="s">
        <v>19</v>
      </c>
      <c r="C18" s="2" t="n">
        <f aca="false">SUMIF('Costo mensual'!$B$2:$B$19,A18,'Costo mensual'!E$2:E$19)*11+SUMIF('Costo mensual'!$B$2:$B$19,A18,'Costo mensual'!F$2:F$19)*1</f>
        <v>348.25</v>
      </c>
    </row>
    <row r="19" customFormat="false" ht="15" hidden="false" customHeight="false" outlineLevel="0" collapsed="false">
      <c r="A19" s="0" t="s">
        <v>20</v>
      </c>
      <c r="C19" s="2" t="n">
        <f aca="false">SUMIF('Costo mensual'!$B$2:$B$19,A19,'Costo mensual'!E$2:E$19)*11+SUMIF('Costo mensual'!$B$2:$B$19,A19,'Costo mensual'!F$2:F$19)*1</f>
        <v>18.2</v>
      </c>
    </row>
    <row r="20" customFormat="false" ht="15" hidden="false" customHeight="false" outlineLevel="0" collapsed="false">
      <c r="A20" s="0" t="s">
        <v>21</v>
      </c>
      <c r="C20" s="2" t="n">
        <f aca="false">SUMIF('Costo mensual'!$B$2:$B$19,A20,'Costo mensual'!E$2:E$19)*11+SUMIF('Costo mensual'!$B$2:$B$19,A20,'Costo mensual'!F$2:F$19)*1</f>
        <v>1683.00405</v>
      </c>
    </row>
    <row r="21" customFormat="false" ht="15" hidden="false" customHeight="false" outlineLevel="0" collapsed="false">
      <c r="A21" s="0" t="s">
        <v>22</v>
      </c>
      <c r="C21" s="2" t="n">
        <f aca="false">SUMIF('Costo mensual'!$B$2:$B$19,A21,'Costo mensual'!E$2:E$19)*11+SUMIF('Costo mensual'!$B$2:$B$19,A21,'Costo mensual'!F$2:F$19)*1</f>
        <v>46.8</v>
      </c>
    </row>
    <row r="22" customFormat="false" ht="15" hidden="false" customHeight="false" outlineLevel="0" collapsed="false">
      <c r="A22" s="0" t="s">
        <v>23</v>
      </c>
      <c r="C22" s="2" t="n">
        <f aca="false">SUMIF('Costo mensual'!$B$2:$B$19,A22,'Costo mensual'!E$2:E$19)*11+SUMIF('Costo mensual'!$B$2:$B$19,A22,'Costo mensual'!F$2:F$19)*1</f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6" min="3" style="0" width="22"/>
  </cols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5" hidden="false" customHeight="false" outlineLevel="0" collapsed="false">
      <c r="A2" s="0" t="s">
        <v>30</v>
      </c>
      <c r="B2" s="0" t="s">
        <v>20</v>
      </c>
      <c r="C2" s="0" t="s">
        <v>31</v>
      </c>
      <c r="D2" s="6" t="n">
        <v>0.02</v>
      </c>
      <c r="E2" s="6" t="n">
        <v>0</v>
      </c>
      <c r="F2" s="0" t="s">
        <v>32</v>
      </c>
    </row>
    <row r="3" customFormat="false" ht="15" hidden="false" customHeight="false" outlineLevel="0" collapsed="false">
      <c r="A3" s="0" t="s">
        <v>33</v>
      </c>
      <c r="B3" s="0" t="s">
        <v>20</v>
      </c>
      <c r="C3" s="0" t="s">
        <v>31</v>
      </c>
      <c r="D3" s="6" t="n">
        <v>0.01</v>
      </c>
      <c r="E3" s="6" t="n">
        <v>0</v>
      </c>
      <c r="F3" s="0" t="s">
        <v>32</v>
      </c>
    </row>
    <row r="4" customFormat="false" ht="15" hidden="false" customHeight="false" outlineLevel="0" collapsed="false">
      <c r="A4" s="0" t="s">
        <v>34</v>
      </c>
      <c r="B4" s="0" t="s">
        <v>16</v>
      </c>
      <c r="C4" s="0" t="s">
        <v>35</v>
      </c>
      <c r="D4" s="6" t="n">
        <v>0.02</v>
      </c>
      <c r="E4" s="6" t="n">
        <v>10</v>
      </c>
      <c r="F4" s="0" t="s">
        <v>36</v>
      </c>
    </row>
    <row r="5" customFormat="false" ht="15" hidden="false" customHeight="false" outlineLevel="0" collapsed="false">
      <c r="A5" s="0" t="s">
        <v>37</v>
      </c>
      <c r="B5" s="0" t="s">
        <v>16</v>
      </c>
      <c r="C5" s="0" t="s">
        <v>38</v>
      </c>
      <c r="D5" s="6" t="n">
        <v>6.25</v>
      </c>
      <c r="E5" s="6" t="n">
        <v>1</v>
      </c>
      <c r="F5" s="0" t="s">
        <v>36</v>
      </c>
    </row>
    <row r="6" customFormat="false" ht="15" hidden="false" customHeight="false" outlineLevel="0" collapsed="false">
      <c r="A6" s="0" t="s">
        <v>39</v>
      </c>
      <c r="B6" s="0" t="s">
        <v>17</v>
      </c>
      <c r="C6" s="0" t="s">
        <v>40</v>
      </c>
      <c r="D6" s="6" t="n">
        <v>40</v>
      </c>
      <c r="E6" s="6" t="n">
        <v>0.009765625</v>
      </c>
      <c r="F6" s="0" t="s">
        <v>41</v>
      </c>
    </row>
    <row r="7" customFormat="false" ht="15" hidden="false" customHeight="false" outlineLevel="0" collapsed="false">
      <c r="A7" s="0" t="s">
        <v>42</v>
      </c>
      <c r="B7" s="0" t="s">
        <v>17</v>
      </c>
      <c r="C7" s="0" t="s">
        <v>40</v>
      </c>
      <c r="D7" s="6" t="n">
        <v>50</v>
      </c>
      <c r="E7" s="6" t="n">
        <v>0</v>
      </c>
      <c r="F7" s="0" t="s">
        <v>41</v>
      </c>
    </row>
    <row r="8" customFormat="false" ht="15" hidden="false" customHeight="false" outlineLevel="0" collapsed="false">
      <c r="A8" s="0" t="s">
        <v>43</v>
      </c>
      <c r="B8" s="0" t="s">
        <v>21</v>
      </c>
      <c r="C8" s="0" t="s">
        <v>44</v>
      </c>
      <c r="D8" s="6" t="n">
        <v>0.069</v>
      </c>
      <c r="E8" s="6" t="n">
        <v>0</v>
      </c>
      <c r="F8" s="0" t="s">
        <v>45</v>
      </c>
    </row>
    <row r="9" customFormat="false" ht="15" hidden="false" customHeight="false" outlineLevel="0" collapsed="false">
      <c r="A9" s="0" t="s">
        <v>46</v>
      </c>
      <c r="B9" s="0" t="s">
        <v>21</v>
      </c>
      <c r="C9" s="0" t="s">
        <v>47</v>
      </c>
      <c r="D9" s="6" t="n">
        <v>0.003557</v>
      </c>
      <c r="E9" s="6" t="n">
        <v>0</v>
      </c>
      <c r="F9" s="0" t="s">
        <v>45</v>
      </c>
    </row>
    <row r="10" customFormat="false" ht="15" hidden="false" customHeight="false" outlineLevel="0" collapsed="false">
      <c r="A10" s="0" t="s">
        <v>48</v>
      </c>
      <c r="B10" s="0" t="s">
        <v>22</v>
      </c>
      <c r="C10" s="0" t="s">
        <v>49</v>
      </c>
      <c r="D10" s="6" t="n">
        <v>0.06</v>
      </c>
      <c r="E10" s="6" t="n">
        <v>0</v>
      </c>
      <c r="F10" s="0" t="s">
        <v>50</v>
      </c>
    </row>
    <row r="11" customFormat="false" ht="15" hidden="false" customHeight="false" outlineLevel="0" collapsed="false">
      <c r="A11" s="0" t="s">
        <v>51</v>
      </c>
      <c r="B11" s="0" t="s">
        <v>18</v>
      </c>
      <c r="C11" s="0" t="s">
        <v>52</v>
      </c>
      <c r="D11" s="6" t="n">
        <v>2.4E-005</v>
      </c>
      <c r="E11" s="6" t="n">
        <v>180000</v>
      </c>
      <c r="F11" s="0" t="s">
        <v>53</v>
      </c>
    </row>
    <row r="12" customFormat="false" ht="15" hidden="false" customHeight="false" outlineLevel="0" collapsed="false">
      <c r="A12" s="0" t="s">
        <v>54</v>
      </c>
      <c r="B12" s="0" t="s">
        <v>18</v>
      </c>
      <c r="C12" s="0" t="s">
        <v>55</v>
      </c>
      <c r="D12" s="6" t="n">
        <v>2.5E-006</v>
      </c>
      <c r="E12" s="6" t="n">
        <v>360000</v>
      </c>
      <c r="F12" s="0" t="s">
        <v>53</v>
      </c>
    </row>
    <row r="13" customFormat="false" ht="15" hidden="false" customHeight="false" outlineLevel="0" collapsed="false">
      <c r="A13" s="0" t="s">
        <v>56</v>
      </c>
      <c r="B13" s="0" t="s">
        <v>18</v>
      </c>
      <c r="C13" s="0" t="s">
        <v>57</v>
      </c>
      <c r="D13" s="6" t="n">
        <v>0.4</v>
      </c>
      <c r="E13" s="6" t="n">
        <v>2</v>
      </c>
      <c r="F13" s="0" t="s">
        <v>53</v>
      </c>
    </row>
    <row r="14" customFormat="false" ht="15" hidden="false" customHeight="false" outlineLevel="0" collapsed="false">
      <c r="A14" s="0" t="s">
        <v>58</v>
      </c>
      <c r="B14" s="0" t="s">
        <v>19</v>
      </c>
      <c r="C14" s="0" t="s">
        <v>59</v>
      </c>
      <c r="D14" s="6" t="n">
        <v>0.015</v>
      </c>
      <c r="E14" s="6" t="n">
        <v>0</v>
      </c>
      <c r="F14" s="0" t="s">
        <v>60</v>
      </c>
    </row>
    <row r="15" customFormat="false" ht="15" hidden="false" customHeight="false" outlineLevel="0" collapsed="false">
      <c r="A15" s="0" t="s">
        <v>61</v>
      </c>
      <c r="B15" s="0" t="s">
        <v>19</v>
      </c>
      <c r="C15" s="0" t="s">
        <v>62</v>
      </c>
      <c r="D15" s="6" t="n">
        <v>0.035</v>
      </c>
      <c r="E15" s="6" t="n">
        <v>0</v>
      </c>
      <c r="F15" s="0" t="s">
        <v>63</v>
      </c>
    </row>
    <row r="16" customFormat="false" ht="15" hidden="false" customHeight="false" outlineLevel="0" collapsed="false">
      <c r="A16" s="0" t="s">
        <v>64</v>
      </c>
      <c r="B16" s="0" t="s">
        <v>19</v>
      </c>
      <c r="C16" s="0" t="s">
        <v>65</v>
      </c>
      <c r="D16" s="6" t="n">
        <v>0.17</v>
      </c>
      <c r="E16" s="6" t="n">
        <v>0</v>
      </c>
      <c r="F16" s="0" t="s">
        <v>63</v>
      </c>
    </row>
    <row r="17" customFormat="false" ht="15" hidden="false" customHeight="false" outlineLevel="0" collapsed="false">
      <c r="A17" s="0" t="s">
        <v>66</v>
      </c>
      <c r="B17" s="0" t="s">
        <v>23</v>
      </c>
      <c r="C17" s="0" t="s">
        <v>67</v>
      </c>
      <c r="D17" s="6" t="n">
        <v>0.1</v>
      </c>
      <c r="E17" s="6" t="n">
        <v>0</v>
      </c>
      <c r="F17" s="0" t="s">
        <v>68</v>
      </c>
    </row>
    <row r="18" customFormat="false" ht="15" hidden="false" customHeight="false" outlineLevel="0" collapsed="false">
      <c r="A18" s="0" t="s">
        <v>69</v>
      </c>
      <c r="B18" s="0" t="s">
        <v>23</v>
      </c>
      <c r="C18" s="0" t="s">
        <v>70</v>
      </c>
      <c r="D18" s="6" t="n">
        <v>0.4</v>
      </c>
      <c r="E18" s="6" t="n">
        <v>0</v>
      </c>
      <c r="F18" s="0" t="s">
        <v>68</v>
      </c>
    </row>
    <row r="19" customFormat="false" ht="15" hidden="false" customHeight="false" outlineLevel="0" collapsed="false">
      <c r="A19" s="0" t="s">
        <v>71</v>
      </c>
      <c r="B19" s="0" t="s">
        <v>15</v>
      </c>
      <c r="C19" s="0" t="s">
        <v>31</v>
      </c>
      <c r="D19" s="6" t="n">
        <v>0.1</v>
      </c>
      <c r="E19" s="6" t="n">
        <v>0.5</v>
      </c>
      <c r="F19" s="0" t="s">
        <v>72</v>
      </c>
    </row>
    <row r="21" customFormat="false" ht="15" hidden="false" customHeight="false" outlineLevel="0" collapsed="false">
      <c r="A21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6" min="3" style="0" width="22"/>
  </cols>
  <sheetData>
    <row r="1" customFormat="false" ht="15" hidden="false" customHeight="false" outlineLevel="0" collapsed="false">
      <c r="A1" s="1" t="s">
        <v>24</v>
      </c>
      <c r="B1" s="1" t="s">
        <v>26</v>
      </c>
      <c r="C1" s="1" t="s">
        <v>5</v>
      </c>
      <c r="D1" s="1" t="s">
        <v>6</v>
      </c>
      <c r="E1" s="1" t="s">
        <v>7</v>
      </c>
      <c r="F1" s="1" t="s">
        <v>8</v>
      </c>
    </row>
    <row r="2" customFormat="false" ht="15" hidden="false" customHeight="false" outlineLevel="0" collapsed="false">
      <c r="A2" s="0" t="s">
        <v>30</v>
      </c>
      <c r="B2" s="0" t="s">
        <v>31</v>
      </c>
      <c r="C2" s="6" t="n">
        <v>40</v>
      </c>
      <c r="D2" s="6" t="n">
        <v>12</v>
      </c>
      <c r="E2" s="6" t="n">
        <v>60</v>
      </c>
      <c r="F2" s="6" t="n">
        <v>70</v>
      </c>
    </row>
    <row r="3" customFormat="false" ht="15" hidden="false" customHeight="false" outlineLevel="0" collapsed="false">
      <c r="A3" s="0" t="s">
        <v>33</v>
      </c>
      <c r="B3" s="0" t="s">
        <v>31</v>
      </c>
      <c r="C3" s="6" t="n">
        <v>0</v>
      </c>
      <c r="D3" s="6" t="n">
        <v>30</v>
      </c>
      <c r="E3" s="6" t="n">
        <v>30</v>
      </c>
      <c r="F3" s="6" t="n">
        <v>30</v>
      </c>
    </row>
    <row r="4" customFormat="false" ht="15" hidden="false" customHeight="false" outlineLevel="0" collapsed="false">
      <c r="A4" s="0" t="s">
        <v>34</v>
      </c>
      <c r="B4" s="0" t="s">
        <v>35</v>
      </c>
      <c r="C4" s="6" t="n">
        <v>12</v>
      </c>
      <c r="D4" s="6" t="n">
        <v>15</v>
      </c>
      <c r="E4" s="6" t="n">
        <v>60</v>
      </c>
      <c r="F4" s="6" t="n">
        <v>80</v>
      </c>
    </row>
    <row r="5" customFormat="false" ht="15" hidden="false" customHeight="false" outlineLevel="0" collapsed="false">
      <c r="A5" s="0" t="s">
        <v>37</v>
      </c>
      <c r="B5" s="0" t="s">
        <v>38</v>
      </c>
      <c r="C5" s="6" t="n">
        <v>0.8</v>
      </c>
      <c r="D5" s="6" t="n">
        <v>1</v>
      </c>
      <c r="E5" s="6" t="n">
        <v>8</v>
      </c>
      <c r="F5" s="6" t="n">
        <v>20</v>
      </c>
    </row>
    <row r="6" customFormat="false" ht="15" hidden="false" customHeight="false" outlineLevel="0" collapsed="false">
      <c r="A6" s="0" t="s">
        <v>39</v>
      </c>
      <c r="B6" s="0" t="s">
        <v>40</v>
      </c>
      <c r="C6" s="6" t="n">
        <v>0.001</v>
      </c>
      <c r="D6" s="6" t="n">
        <v>0.002</v>
      </c>
      <c r="E6" s="6" t="n">
        <v>0.03</v>
      </c>
      <c r="F6" s="6" t="n">
        <v>0.15</v>
      </c>
    </row>
    <row r="7" customFormat="false" ht="15" hidden="false" customHeight="false" outlineLevel="0" collapsed="false">
      <c r="A7" s="0" t="s">
        <v>42</v>
      </c>
      <c r="B7" s="0" t="s">
        <v>40</v>
      </c>
      <c r="C7" s="6" t="n">
        <v>0.001</v>
      </c>
      <c r="D7" s="6" t="n">
        <v>0.002</v>
      </c>
      <c r="E7" s="6" t="n">
        <v>0.03</v>
      </c>
      <c r="F7" s="6" t="n">
        <v>0.15</v>
      </c>
    </row>
    <row r="8" customFormat="false" ht="15" hidden="false" customHeight="false" outlineLevel="0" collapsed="false">
      <c r="A8" s="0" t="s">
        <v>43</v>
      </c>
      <c r="B8" s="0" t="s">
        <v>44</v>
      </c>
      <c r="C8" s="6" t="n">
        <v>0</v>
      </c>
      <c r="D8" s="6" t="n">
        <v>48</v>
      </c>
      <c r="E8" s="6" t="n">
        <v>1460</v>
      </c>
      <c r="F8" s="6" t="n">
        <v>4380</v>
      </c>
    </row>
    <row r="9" customFormat="false" ht="15" hidden="false" customHeight="false" outlineLevel="0" collapsed="false">
      <c r="A9" s="0" t="s">
        <v>46</v>
      </c>
      <c r="B9" s="0" t="s">
        <v>47</v>
      </c>
      <c r="C9" s="6" t="n">
        <v>0</v>
      </c>
      <c r="D9" s="6" t="n">
        <v>180</v>
      </c>
      <c r="E9" s="6" t="n">
        <v>5475</v>
      </c>
      <c r="F9" s="6" t="n">
        <v>16425</v>
      </c>
    </row>
    <row r="10" customFormat="false" ht="15" hidden="false" customHeight="false" outlineLevel="0" collapsed="false">
      <c r="A10" s="0" t="s">
        <v>48</v>
      </c>
      <c r="B10" s="0" t="s">
        <v>49</v>
      </c>
      <c r="C10" s="6" t="n">
        <v>16</v>
      </c>
      <c r="D10" s="6" t="n">
        <v>8</v>
      </c>
      <c r="E10" s="6" t="n">
        <v>60</v>
      </c>
      <c r="F10" s="6" t="n">
        <v>120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6" t="n">
        <v>40000</v>
      </c>
      <c r="D11" s="6" t="n">
        <v>60000</v>
      </c>
      <c r="E11" s="6" t="n">
        <v>1500000</v>
      </c>
      <c r="F11" s="6" t="n">
        <v>7500000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6" t="n">
        <v>20000</v>
      </c>
      <c r="D12" s="6" t="n">
        <v>30000</v>
      </c>
      <c r="E12" s="6" t="n">
        <v>750000</v>
      </c>
      <c r="F12" s="6" t="n">
        <v>3750000</v>
      </c>
    </row>
    <row r="13" customFormat="false" ht="15" hidden="false" customHeight="false" outlineLevel="0" collapsed="false">
      <c r="A13" s="0" t="s">
        <v>56</v>
      </c>
      <c r="B13" s="0" t="s">
        <v>57</v>
      </c>
      <c r="C13" s="6" t="n">
        <v>0.05</v>
      </c>
      <c r="D13" s="6" t="n">
        <v>0.1</v>
      </c>
      <c r="E13" s="6" t="n">
        <v>6</v>
      </c>
      <c r="F13" s="6" t="n">
        <v>30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6" t="n">
        <v>200</v>
      </c>
      <c r="D14" s="6" t="n">
        <v>120</v>
      </c>
      <c r="E14" s="6" t="n">
        <v>0</v>
      </c>
      <c r="F14" s="6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6" t="n">
        <v>0</v>
      </c>
      <c r="D15" s="6" t="n">
        <v>0</v>
      </c>
      <c r="E15" s="6" t="n">
        <v>730</v>
      </c>
      <c r="F15" s="6" t="n">
        <v>730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6" t="n">
        <v>10</v>
      </c>
      <c r="D16" s="6" t="n">
        <v>10</v>
      </c>
      <c r="E16" s="6" t="n">
        <v>20</v>
      </c>
      <c r="F16" s="6" t="n">
        <v>25</v>
      </c>
    </row>
    <row r="17" customFormat="false" ht="15" hidden="false" customHeight="false" outlineLevel="0" collapsed="false">
      <c r="A17" s="0" t="s">
        <v>66</v>
      </c>
      <c r="B17" s="0" t="s">
        <v>67</v>
      </c>
      <c r="C17" s="6" t="n">
        <v>3</v>
      </c>
      <c r="D17" s="6" t="n">
        <v>5</v>
      </c>
      <c r="E17" s="6" t="n">
        <v>300</v>
      </c>
      <c r="F17" s="6" t="n">
        <v>1500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6" t="n">
        <v>0.5</v>
      </c>
      <c r="D18" s="6" t="n">
        <v>1</v>
      </c>
      <c r="E18" s="6" t="n">
        <v>40</v>
      </c>
      <c r="F18" s="6" t="n">
        <v>200</v>
      </c>
    </row>
    <row r="19" customFormat="false" ht="15" hidden="false" customHeight="false" outlineLevel="0" collapsed="false">
      <c r="A19" s="0" t="s">
        <v>71</v>
      </c>
      <c r="B19" s="0" t="s">
        <v>31</v>
      </c>
      <c r="C19" s="6" t="n">
        <v>2</v>
      </c>
      <c r="D19" s="6" t="n">
        <v>2</v>
      </c>
      <c r="E19" s="6" t="n">
        <v>3</v>
      </c>
      <c r="F19" s="6" t="n">
        <v>3</v>
      </c>
    </row>
    <row r="21" customFormat="false" ht="15" hidden="false" customHeight="false" outlineLevel="0" collapsed="false">
      <c r="A21" s="3" t="s">
        <v>74</v>
      </c>
      <c r="C21" s="6" t="n">
        <v>5000</v>
      </c>
      <c r="D21" s="6" t="n">
        <v>20000</v>
      </c>
      <c r="E21" s="6" t="n">
        <v>377000</v>
      </c>
      <c r="F21" s="6" t="n">
        <v>1885000</v>
      </c>
    </row>
    <row r="22" customFormat="false" ht="46.25" hidden="false" customHeight="false" outlineLevel="0" collapsed="false">
      <c r="A22" s="3" t="s">
        <v>75</v>
      </c>
      <c r="C22" s="8" t="s">
        <v>76</v>
      </c>
      <c r="D22" s="8" t="s">
        <v>77</v>
      </c>
      <c r="E22" s="8" t="s">
        <v>78</v>
      </c>
      <c r="F22" s="8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6" min="3" style="0" width="22"/>
  </cols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5</v>
      </c>
      <c r="D1" s="1" t="s">
        <v>6</v>
      </c>
      <c r="E1" s="1" t="s">
        <v>7</v>
      </c>
      <c r="F1" s="1" t="s">
        <v>8</v>
      </c>
    </row>
    <row r="2" customFormat="false" ht="15" hidden="false" customHeight="false" outlineLevel="0" collapsed="false">
      <c r="A2" s="0" t="s">
        <v>30</v>
      </c>
      <c r="B2" s="0" t="str">
        <f aca="false">Precios!B2</f>
        <v>Cloud Storage</v>
      </c>
      <c r="C2" s="2" t="n">
        <f aca="false">MAX(0,Uso!C2-Precios!$E2)*Precios!$D2</f>
        <v>0.8</v>
      </c>
      <c r="D2" s="2" t="n">
        <f aca="false">MAX(0,Uso!D2-Precios!$E2)*Precios!$D2</f>
        <v>0.24</v>
      </c>
      <c r="E2" s="2" t="n">
        <f aca="false">MAX(0,Uso!E2-Precios!$E2)*Precios!$D2</f>
        <v>1.2</v>
      </c>
      <c r="F2" s="2" t="n">
        <f aca="false">MAX(0,Uso!F2-Precios!$E2)*Precios!$D2</f>
        <v>1.4</v>
      </c>
    </row>
    <row r="3" customFormat="false" ht="15" hidden="false" customHeight="false" outlineLevel="0" collapsed="false">
      <c r="A3" s="0" t="s">
        <v>33</v>
      </c>
      <c r="B3" s="0" t="str">
        <f aca="false">Precios!B3</f>
        <v>Cloud Storage</v>
      </c>
      <c r="C3" s="2" t="n">
        <f aca="false">MAX(0,Uso!C3-Precios!$E3)*Precios!$D3</f>
        <v>0</v>
      </c>
      <c r="D3" s="2" t="n">
        <f aca="false">MAX(0,Uso!D3-Precios!$E3)*Precios!$D3</f>
        <v>0.3</v>
      </c>
      <c r="E3" s="2" t="n">
        <f aca="false">MAX(0,Uso!E3-Precios!$E3)*Precios!$D3</f>
        <v>0.3</v>
      </c>
      <c r="F3" s="2" t="n">
        <f aca="false">MAX(0,Uso!F3-Precios!$E3)*Precios!$D3</f>
        <v>0.3</v>
      </c>
    </row>
    <row r="4" customFormat="false" ht="15" hidden="false" customHeight="false" outlineLevel="0" collapsed="false">
      <c r="A4" s="0" t="s">
        <v>34</v>
      </c>
      <c r="B4" s="0" t="str">
        <f aca="false">Precios!B4</f>
        <v>BigQuery</v>
      </c>
      <c r="C4" s="2" t="n">
        <f aca="false">MAX(0,Uso!C4-Precios!$E4)*Precios!$D4</f>
        <v>0.04</v>
      </c>
      <c r="D4" s="2" t="n">
        <f aca="false">MAX(0,Uso!D4-Precios!$E4)*Precios!$D4</f>
        <v>0.1</v>
      </c>
      <c r="E4" s="2" t="n">
        <f aca="false">MAX(0,Uso!E4-Precios!$E4)*Precios!$D4</f>
        <v>1</v>
      </c>
      <c r="F4" s="2" t="n">
        <f aca="false">MAX(0,Uso!F4-Precios!$E4)*Precios!$D4</f>
        <v>1.4</v>
      </c>
    </row>
    <row r="5" customFormat="false" ht="15" hidden="false" customHeight="false" outlineLevel="0" collapsed="false">
      <c r="A5" s="0" t="s">
        <v>37</v>
      </c>
      <c r="B5" s="0" t="str">
        <f aca="false">Precios!B5</f>
        <v>BigQuery</v>
      </c>
      <c r="C5" s="2" t="n">
        <f aca="false">MAX(0,Uso!C5-Precios!$E5)*Precios!$D5</f>
        <v>0</v>
      </c>
      <c r="D5" s="2" t="n">
        <f aca="false">MAX(0,Uso!D5-Precios!$E5)*Precios!$D5</f>
        <v>0</v>
      </c>
      <c r="E5" s="2" t="n">
        <f aca="false">MAX(0,Uso!E5-Precios!$E5)*Precios!$D5</f>
        <v>43.75</v>
      </c>
      <c r="F5" s="2" t="n">
        <f aca="false">MAX(0,Uso!F5-Precios!$E5)*Precios!$D5</f>
        <v>118.75</v>
      </c>
    </row>
    <row r="6" customFormat="false" ht="15" hidden="false" customHeight="false" outlineLevel="0" collapsed="false">
      <c r="A6" s="0" t="s">
        <v>39</v>
      </c>
      <c r="B6" s="0" t="str">
        <f aca="false">Precios!B6</f>
        <v>Cloud Pub/Sub</v>
      </c>
      <c r="C6" s="2" t="n">
        <f aca="false">MAX(0,Uso!C6-Precios!$E6)*Precios!$D6</f>
        <v>0</v>
      </c>
      <c r="D6" s="2" t="n">
        <f aca="false">MAX(0,Uso!D6-Precios!$E6)*Precios!$D6</f>
        <v>0</v>
      </c>
      <c r="E6" s="2" t="n">
        <f aca="false">MAX(0,Uso!E6-Precios!$E6)*Precios!$D6</f>
        <v>0.809375</v>
      </c>
      <c r="F6" s="2" t="n">
        <f aca="false">MAX(0,Uso!F6-Precios!$E6)*Precios!$D6</f>
        <v>5.609375</v>
      </c>
    </row>
    <row r="7" customFormat="false" ht="15" hidden="false" customHeight="false" outlineLevel="0" collapsed="false">
      <c r="A7" s="0" t="s">
        <v>42</v>
      </c>
      <c r="B7" s="0" t="str">
        <f aca="false">Precios!B7</f>
        <v>Cloud Pub/Sub</v>
      </c>
      <c r="C7" s="2" t="n">
        <f aca="false">MAX(0,Uso!C7-Precios!$E7)*Precios!$D7</f>
        <v>0.05</v>
      </c>
      <c r="D7" s="2" t="n">
        <f aca="false">MAX(0,Uso!D7-Precios!$E7)*Precios!$D7</f>
        <v>0.1</v>
      </c>
      <c r="E7" s="2" t="n">
        <f aca="false">MAX(0,Uso!E7-Precios!$E7)*Precios!$D7</f>
        <v>1.5</v>
      </c>
      <c r="F7" s="2" t="n">
        <f aca="false">MAX(0,Uso!F7-Precios!$E7)*Precios!$D7</f>
        <v>7.5</v>
      </c>
    </row>
    <row r="8" customFormat="false" ht="15" hidden="false" customHeight="false" outlineLevel="0" collapsed="false">
      <c r="A8" s="0" t="s">
        <v>43</v>
      </c>
      <c r="B8" s="0" t="str">
        <f aca="false">Precios!B8</f>
        <v>Dataflow</v>
      </c>
      <c r="C8" s="2" t="n">
        <f aca="false">MAX(0,Uso!C8-Precios!$E8)*Precios!$D8</f>
        <v>0</v>
      </c>
      <c r="D8" s="2" t="n">
        <f aca="false">MAX(0,Uso!D8-Precios!$E8)*Precios!$D8</f>
        <v>3.312</v>
      </c>
      <c r="E8" s="2" t="n">
        <f aca="false">MAX(0,Uso!E8-Precios!$E8)*Precios!$D8</f>
        <v>100.74</v>
      </c>
      <c r="F8" s="2" t="n">
        <f aca="false">MAX(0,Uso!F8-Precios!$E8)*Precios!$D8</f>
        <v>302.22</v>
      </c>
    </row>
    <row r="9" customFormat="false" ht="15" hidden="false" customHeight="false" outlineLevel="0" collapsed="false">
      <c r="A9" s="0" t="s">
        <v>46</v>
      </c>
      <c r="B9" s="0" t="str">
        <f aca="false">Precios!B9</f>
        <v>Dataflow</v>
      </c>
      <c r="C9" s="2" t="n">
        <f aca="false">MAX(0,Uso!C9-Precios!$E9)*Precios!$D9</f>
        <v>0</v>
      </c>
      <c r="D9" s="2" t="n">
        <f aca="false">MAX(0,Uso!D9-Precios!$E9)*Precios!$D9</f>
        <v>0.64026</v>
      </c>
      <c r="E9" s="2" t="n">
        <f aca="false">MAX(0,Uso!E9-Precios!$E9)*Precios!$D9</f>
        <v>19.474575</v>
      </c>
      <c r="F9" s="2" t="n">
        <f aca="false">MAX(0,Uso!F9-Precios!$E9)*Precios!$D9</f>
        <v>58.423725</v>
      </c>
    </row>
    <row r="10" customFormat="false" ht="15" hidden="false" customHeight="false" outlineLevel="0" collapsed="false">
      <c r="A10" s="0" t="s">
        <v>48</v>
      </c>
      <c r="B10" s="0" t="str">
        <f aca="false">Precios!B10</f>
        <v>Serverless for Apache Spark</v>
      </c>
      <c r="C10" s="2" t="n">
        <f aca="false">MAX(0,Uso!C10-Precios!$E10)*Precios!$D10</f>
        <v>0.96</v>
      </c>
      <c r="D10" s="2" t="n">
        <f aca="false">MAX(0,Uso!D10-Precios!$E10)*Precios!$D10</f>
        <v>0.48</v>
      </c>
      <c r="E10" s="2" t="n">
        <f aca="false">MAX(0,Uso!E10-Precios!$E10)*Precios!$D10</f>
        <v>3.6</v>
      </c>
      <c r="F10" s="2" t="n">
        <f aca="false">MAX(0,Uso!F10-Precios!$E10)*Precios!$D10</f>
        <v>7.2</v>
      </c>
    </row>
    <row r="11" customFormat="false" ht="15" hidden="false" customHeight="false" outlineLevel="0" collapsed="false">
      <c r="A11" s="0" t="s">
        <v>51</v>
      </c>
      <c r="B11" s="0" t="str">
        <f aca="false">Precios!B11</f>
        <v>Cloud Run</v>
      </c>
      <c r="C11" s="2" t="n">
        <f aca="false">MAX(0,Uso!C11-Precios!$E11)*Precios!$D11</f>
        <v>0</v>
      </c>
      <c r="D11" s="2" t="n">
        <f aca="false">MAX(0,Uso!D11-Precios!$E11)*Precios!$D11</f>
        <v>0</v>
      </c>
      <c r="E11" s="2" t="n">
        <f aca="false">MAX(0,Uso!E11-Precios!$E11)*Precios!$D11</f>
        <v>31.68</v>
      </c>
      <c r="F11" s="2" t="n">
        <f aca="false">MAX(0,Uso!F11-Precios!$E11)*Precios!$D11</f>
        <v>175.68</v>
      </c>
    </row>
    <row r="12" customFormat="false" ht="15" hidden="false" customHeight="false" outlineLevel="0" collapsed="false">
      <c r="A12" s="0" t="s">
        <v>54</v>
      </c>
      <c r="B12" s="0" t="str">
        <f aca="false">Precios!B12</f>
        <v>Cloud Run</v>
      </c>
      <c r="C12" s="2" t="n">
        <f aca="false">MAX(0,Uso!C12-Precios!$E12)*Precios!$D12</f>
        <v>0</v>
      </c>
      <c r="D12" s="2" t="n">
        <f aca="false">MAX(0,Uso!D12-Precios!$E12)*Precios!$D12</f>
        <v>0</v>
      </c>
      <c r="E12" s="2" t="n">
        <f aca="false">MAX(0,Uso!E12-Precios!$E12)*Precios!$D12</f>
        <v>0.975</v>
      </c>
      <c r="F12" s="2" t="n">
        <f aca="false">MAX(0,Uso!F12-Precios!$E12)*Precios!$D12</f>
        <v>8.475</v>
      </c>
    </row>
    <row r="13" customFormat="false" ht="15" hidden="false" customHeight="false" outlineLevel="0" collapsed="false">
      <c r="A13" s="0" t="s">
        <v>56</v>
      </c>
      <c r="B13" s="0" t="str">
        <f aca="false">Precios!B13</f>
        <v>Cloud Run</v>
      </c>
      <c r="C13" s="2" t="n">
        <f aca="false">MAX(0,Uso!C13-Precios!$E13)*Precios!$D13</f>
        <v>0</v>
      </c>
      <c r="D13" s="2" t="n">
        <f aca="false">MAX(0,Uso!D13-Precios!$E13)*Precios!$D13</f>
        <v>0</v>
      </c>
      <c r="E13" s="2" t="n">
        <f aca="false">MAX(0,Uso!E13-Precios!$E13)*Precios!$D13</f>
        <v>1.6</v>
      </c>
      <c r="F13" s="2" t="n">
        <f aca="false">MAX(0,Uso!F13-Precios!$E13)*Precios!$D13</f>
        <v>11.2</v>
      </c>
    </row>
    <row r="14" customFormat="false" ht="15" hidden="false" customHeight="false" outlineLevel="0" collapsed="false">
      <c r="A14" s="0" t="s">
        <v>58</v>
      </c>
      <c r="B14" s="0" t="str">
        <f aca="false">Precios!B14</f>
        <v>Cloud SQL</v>
      </c>
      <c r="C14" s="2" t="n">
        <f aca="false">MAX(0,Uso!C14-Precios!$E14)*Precios!$D14</f>
        <v>3</v>
      </c>
      <c r="D14" s="2" t="n">
        <f aca="false">MAX(0,Uso!D14-Precios!$E14)*Precios!$D14</f>
        <v>1.8</v>
      </c>
      <c r="E14" s="2" t="n">
        <f aca="false">MAX(0,Uso!E14-Precios!$E14)*Precios!$D14</f>
        <v>0</v>
      </c>
      <c r="F14" s="2" t="n">
        <f aca="false">MAX(0,Uso!F14-Precios!$E14)*Precios!$D14</f>
        <v>0</v>
      </c>
    </row>
    <row r="15" customFormat="false" ht="15" hidden="false" customHeight="false" outlineLevel="0" collapsed="false">
      <c r="A15" s="0" t="s">
        <v>61</v>
      </c>
      <c r="B15" s="0" t="str">
        <f aca="false">Precios!B15</f>
        <v>Cloud SQL</v>
      </c>
      <c r="C15" s="2" t="n">
        <f aca="false">MAX(0,Uso!C15-Precios!$E15)*Precios!$D15</f>
        <v>0</v>
      </c>
      <c r="D15" s="2" t="n">
        <f aca="false">MAX(0,Uso!D15-Precios!$E15)*Precios!$D15</f>
        <v>0</v>
      </c>
      <c r="E15" s="2" t="n">
        <f aca="false">MAX(0,Uso!E15-Precios!$E15)*Precios!$D15</f>
        <v>25.55</v>
      </c>
      <c r="F15" s="2" t="n">
        <f aca="false">MAX(0,Uso!F15-Precios!$E15)*Precios!$D15</f>
        <v>25.55</v>
      </c>
    </row>
    <row r="16" customFormat="false" ht="15" hidden="false" customHeight="false" outlineLevel="0" collapsed="false">
      <c r="A16" s="0" t="s">
        <v>64</v>
      </c>
      <c r="B16" s="0" t="str">
        <f aca="false">Precios!B16</f>
        <v>Cloud SQL</v>
      </c>
      <c r="C16" s="2" t="n">
        <f aca="false">MAX(0,Uso!C16-Precios!$E16)*Precios!$D16</f>
        <v>1.7</v>
      </c>
      <c r="D16" s="2" t="n">
        <f aca="false">MAX(0,Uso!D16-Precios!$E16)*Precios!$D16</f>
        <v>1.7</v>
      </c>
      <c r="E16" s="2" t="n">
        <f aca="false">MAX(0,Uso!E16-Precios!$E16)*Precios!$D16</f>
        <v>3.4</v>
      </c>
      <c r="F16" s="2" t="n">
        <f aca="false">MAX(0,Uso!F16-Precios!$E16)*Precios!$D16</f>
        <v>4.25</v>
      </c>
    </row>
    <row r="17" customFormat="false" ht="15" hidden="false" customHeight="false" outlineLevel="0" collapsed="false">
      <c r="A17" s="0" t="s">
        <v>66</v>
      </c>
      <c r="B17" s="0" t="str">
        <f aca="false">Precios!B17</f>
        <v>Vertex AI Gemini 2.5 Flash-Lite</v>
      </c>
      <c r="C17" s="2" t="n">
        <f aca="false">MAX(0,Uso!C17-Precios!$E17)*Precios!$D17</f>
        <v>0.3</v>
      </c>
      <c r="D17" s="2" t="n">
        <f aca="false">MAX(0,Uso!D17-Precios!$E17)*Precios!$D17</f>
        <v>0.5</v>
      </c>
      <c r="E17" s="2" t="n">
        <f aca="false">MAX(0,Uso!E17-Precios!$E17)*Precios!$D17</f>
        <v>30</v>
      </c>
      <c r="F17" s="2" t="n">
        <f aca="false">MAX(0,Uso!F17-Precios!$E17)*Precios!$D17</f>
        <v>150</v>
      </c>
    </row>
    <row r="18" customFormat="false" ht="15" hidden="false" customHeight="false" outlineLevel="0" collapsed="false">
      <c r="A18" s="0" t="s">
        <v>69</v>
      </c>
      <c r="B18" s="0" t="str">
        <f aca="false">Precios!B18</f>
        <v>Vertex AI Gemini 2.5 Flash-Lite</v>
      </c>
      <c r="C18" s="2" t="n">
        <f aca="false">MAX(0,Uso!C18-Precios!$E18)*Precios!$D18</f>
        <v>0.2</v>
      </c>
      <c r="D18" s="2" t="n">
        <f aca="false">MAX(0,Uso!D18-Precios!$E18)*Precios!$D18</f>
        <v>0.4</v>
      </c>
      <c r="E18" s="2" t="n">
        <f aca="false">MAX(0,Uso!E18-Precios!$E18)*Precios!$D18</f>
        <v>16</v>
      </c>
      <c r="F18" s="2" t="n">
        <f aca="false">MAX(0,Uso!F18-Precios!$E18)*Precios!$D18</f>
        <v>80</v>
      </c>
    </row>
    <row r="19" customFormat="false" ht="15" hidden="false" customHeight="false" outlineLevel="0" collapsed="false">
      <c r="A19" s="0" t="s">
        <v>71</v>
      </c>
      <c r="B19" s="0" t="str">
        <f aca="false">Precios!B19</f>
        <v>Artifact Registry</v>
      </c>
      <c r="C19" s="2" t="n">
        <f aca="false">MAX(0,Uso!C19-Precios!$E19)*Precios!$D19</f>
        <v>0.15</v>
      </c>
      <c r="D19" s="2" t="n">
        <f aca="false">MAX(0,Uso!D19-Precios!$E19)*Precios!$D19</f>
        <v>0.15</v>
      </c>
      <c r="E19" s="2" t="n">
        <f aca="false">MAX(0,Uso!E19-Precios!$E19)*Precios!$D19</f>
        <v>0.25</v>
      </c>
      <c r="F19" s="2" t="n">
        <f aca="false">MAX(0,Uso!F19-Precios!$E19)*Precios!$D19</f>
        <v>0.25</v>
      </c>
    </row>
    <row r="20" customFormat="false" ht="15" hidden="false" customHeight="false" outlineLevel="0" collapsed="false">
      <c r="A20" s="3" t="s">
        <v>80</v>
      </c>
      <c r="C20" s="4" t="n">
        <f aca="false">SUM(C2:C19)</f>
        <v>7.2</v>
      </c>
      <c r="D20" s="4" t="n">
        <f aca="false">SUM(D2:D19)</f>
        <v>9.72226</v>
      </c>
      <c r="E20" s="4" t="n">
        <f aca="false">SUM(E2:E19)</f>
        <v>281.82895</v>
      </c>
      <c r="F20" s="4" t="n">
        <f aca="false">SUM(F2:F19)</f>
        <v>958.2081</v>
      </c>
    </row>
    <row r="21" customFormat="false" ht="15" hidden="false" customHeight="false" outlineLevel="0" collapsed="false">
      <c r="A21" s="3" t="s">
        <v>81</v>
      </c>
      <c r="C21" s="9" t="n">
        <f aca="false">Uso!C21</f>
        <v>5000</v>
      </c>
      <c r="D21" s="9" t="n">
        <f aca="false">Uso!D21</f>
        <v>20000</v>
      </c>
      <c r="E21" s="9" t="n">
        <f aca="false">Uso!E21</f>
        <v>377000</v>
      </c>
      <c r="F21" s="9" t="n">
        <f aca="false">Uso!F21</f>
        <v>1885000</v>
      </c>
    </row>
    <row r="22" customFormat="false" ht="15" hidden="false" customHeight="false" outlineLevel="0" collapsed="false">
      <c r="A22" s="3" t="s">
        <v>82</v>
      </c>
      <c r="C22" s="10" t="n">
        <f aca="false">IF(C21&gt;0,C20/C21,0)</f>
        <v>0.00144</v>
      </c>
      <c r="D22" s="10" t="n">
        <f aca="false">IF(D21&gt;0,D20/D21,0)</f>
        <v>0.000486113</v>
      </c>
      <c r="E22" s="10" t="n">
        <f aca="false">IF(E21&gt;0,E20/E21,0)</f>
        <v>0.000747556896551724</v>
      </c>
      <c r="F22" s="10" t="n">
        <f aca="false">IF(F21&gt;0,F20/F21,0)</f>
        <v>0.000508333209549072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2026-10-22T20:00:11Z</dcterms:created>
  <dc:creator>openpyxl</dc:creator>
  <dc:description/>
  <dc:language>en-US</dc:language>
  <cp:lastModifiedBy/>
  <dcterms:modified xsi:type="dcterms:W3CDTF">2026-10-22T20:00:11Z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